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C.library\Mestrado\1_ANO\2_semestre\RP\PL\data_sets\"/>
    </mc:Choice>
  </mc:AlternateContent>
  <xr:revisionPtr revIDLastSave="0" documentId="13_ncr:1_{80C94B7B-96D4-4573-9145-4C81F371F9B9}" xr6:coauthVersionLast="47" xr6:coauthVersionMax="47" xr10:uidLastSave="{00000000-0000-0000-0000-000000000000}"/>
  <bookViews>
    <workbookView xWindow="-108" yWindow="-108" windowWidth="23256" windowHeight="12456" activeTab="1" xr2:uid="{E55DC6EE-18D2-4ED6-A634-B079669E15AE}"/>
  </bookViews>
  <sheets>
    <sheet name="Description" sheetId="8" r:id="rId1"/>
    <sheet name="Signal+noise" sheetId="4" r:id="rId2"/>
    <sheet name="Data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H3" i="4" s="1"/>
  <c r="E3" i="4"/>
  <c r="B4" i="4"/>
  <c r="H4" i="4" s="1"/>
  <c r="E4" i="4"/>
  <c r="B5" i="4"/>
  <c r="H5" i="4" s="1"/>
  <c r="E5" i="4"/>
  <c r="G24" i="4" s="1"/>
  <c r="B6" i="4"/>
  <c r="H6" i="4" s="1"/>
  <c r="E6" i="4"/>
  <c r="G6" i="4"/>
  <c r="B7" i="4"/>
  <c r="E7" i="4"/>
  <c r="G45" i="4" s="1"/>
  <c r="H7" i="4"/>
  <c r="J7" i="4" s="1"/>
  <c r="B8" i="4"/>
  <c r="H8" i="4" s="1"/>
  <c r="E8" i="4"/>
  <c r="B9" i="4"/>
  <c r="E9" i="4"/>
  <c r="H9" i="4"/>
  <c r="J9" i="4"/>
  <c r="K9" i="4"/>
  <c r="B10" i="4"/>
  <c r="E10" i="4"/>
  <c r="H10" i="4"/>
  <c r="J10" i="4" s="1"/>
  <c r="B11" i="4"/>
  <c r="H11" i="4" s="1"/>
  <c r="E11" i="4"/>
  <c r="B12" i="4"/>
  <c r="H12" i="4" s="1"/>
  <c r="E12" i="4"/>
  <c r="B13" i="4"/>
  <c r="H13" i="4" s="1"/>
  <c r="B14" i="4"/>
  <c r="C14" i="4"/>
  <c r="H14" i="4"/>
  <c r="K14" i="4" s="1"/>
  <c r="J14" i="4"/>
  <c r="B15" i="4"/>
  <c r="H15" i="4"/>
  <c r="J15" i="4" s="1"/>
  <c r="B16" i="4"/>
  <c r="H16" i="4" s="1"/>
  <c r="G16" i="4"/>
  <c r="B17" i="4"/>
  <c r="H17" i="4"/>
  <c r="J17" i="4" s="1"/>
  <c r="B18" i="4"/>
  <c r="H18" i="4" s="1"/>
  <c r="B19" i="4"/>
  <c r="H19" i="4"/>
  <c r="J19" i="4"/>
  <c r="K19" i="4"/>
  <c r="B20" i="4"/>
  <c r="H20" i="4"/>
  <c r="J20" i="4" s="1"/>
  <c r="B21" i="4"/>
  <c r="H21" i="4" s="1"/>
  <c r="B22" i="4"/>
  <c r="H22" i="4"/>
  <c r="J22" i="4" s="1"/>
  <c r="B23" i="4"/>
  <c r="H23" i="4"/>
  <c r="J23" i="4" s="1"/>
  <c r="B24" i="4"/>
  <c r="B25" i="4"/>
  <c r="H25" i="4"/>
  <c r="J25" i="4"/>
  <c r="K25" i="4"/>
  <c r="B26" i="4"/>
  <c r="H26" i="4" s="1"/>
  <c r="B27" i="4"/>
  <c r="H27" i="4" s="1"/>
  <c r="B28" i="4"/>
  <c r="H28" i="4"/>
  <c r="J28" i="4"/>
  <c r="K28" i="4"/>
  <c r="B29" i="4"/>
  <c r="H29" i="4" s="1"/>
  <c r="G29" i="4"/>
  <c r="B30" i="4"/>
  <c r="H30" i="4" s="1"/>
  <c r="B31" i="4"/>
  <c r="H31" i="4"/>
  <c r="J31" i="4"/>
  <c r="K31" i="4"/>
  <c r="B32" i="4"/>
  <c r="H32" i="4" s="1"/>
  <c r="B33" i="4"/>
  <c r="H33" i="4" s="1"/>
  <c r="B34" i="4"/>
  <c r="H34" i="4"/>
  <c r="J34" i="4"/>
  <c r="K34" i="4"/>
  <c r="B35" i="4"/>
  <c r="H35" i="4" s="1"/>
  <c r="B36" i="4"/>
  <c r="H36" i="4" s="1"/>
  <c r="B37" i="4"/>
  <c r="H37" i="4"/>
  <c r="J37" i="4"/>
  <c r="K37" i="4"/>
  <c r="B38" i="4"/>
  <c r="H38" i="4" s="1"/>
  <c r="B39" i="4"/>
  <c r="H39" i="4" s="1"/>
  <c r="B40" i="4"/>
  <c r="H40" i="4"/>
  <c r="J40" i="4"/>
  <c r="K40" i="4"/>
  <c r="B41" i="4"/>
  <c r="H41" i="4" s="1"/>
  <c r="B42" i="4"/>
  <c r="H42" i="4" s="1"/>
  <c r="B43" i="4"/>
  <c r="H43" i="4"/>
  <c r="J43" i="4"/>
  <c r="K43" i="4"/>
  <c r="B44" i="4"/>
  <c r="H44" i="4" s="1"/>
  <c r="B45" i="4"/>
  <c r="B46" i="4"/>
  <c r="H46" i="4"/>
  <c r="K46" i="4" s="1"/>
  <c r="J46" i="4"/>
  <c r="B47" i="4"/>
  <c r="H47" i="4"/>
  <c r="J47" i="4" s="1"/>
  <c r="B48" i="4"/>
  <c r="H48" i="4" s="1"/>
  <c r="B49" i="4"/>
  <c r="H49" i="4"/>
  <c r="K49" i="4" s="1"/>
  <c r="J49" i="4"/>
  <c r="B50" i="4"/>
  <c r="H50" i="4"/>
  <c r="J50" i="4" s="1"/>
  <c r="B51" i="4"/>
  <c r="H51" i="4" s="1"/>
  <c r="B52" i="4"/>
  <c r="H52" i="4"/>
  <c r="K52" i="4" s="1"/>
  <c r="J52" i="4"/>
  <c r="B53" i="4"/>
  <c r="H53" i="4"/>
  <c r="J53" i="4" s="1"/>
  <c r="B54" i="4"/>
  <c r="H54" i="4" s="1"/>
  <c r="B55" i="4"/>
  <c r="G55" i="4"/>
  <c r="H55" i="4"/>
  <c r="J55" i="4" s="1"/>
  <c r="B56" i="4"/>
  <c r="H56" i="4" s="1"/>
  <c r="B57" i="4"/>
  <c r="H57" i="4"/>
  <c r="J57" i="4"/>
  <c r="K57" i="4"/>
  <c r="B58" i="4"/>
  <c r="H58" i="4"/>
  <c r="J58" i="4" s="1"/>
  <c r="B59" i="4"/>
  <c r="H59" i="4" s="1"/>
  <c r="B60" i="4"/>
  <c r="H60" i="4"/>
  <c r="J60" i="4"/>
  <c r="K60" i="4"/>
  <c r="B61" i="4"/>
  <c r="H61" i="4"/>
  <c r="J61" i="4" s="1"/>
  <c r="B62" i="4"/>
  <c r="H62" i="4" s="1"/>
  <c r="B63" i="4"/>
  <c r="H63" i="4"/>
  <c r="J63" i="4"/>
  <c r="K63" i="4"/>
  <c r="B64" i="4"/>
  <c r="H64" i="4" s="1"/>
  <c r="G64" i="4"/>
  <c r="B65" i="4"/>
  <c r="H65" i="4" s="1"/>
  <c r="B66" i="4"/>
  <c r="H66" i="4"/>
  <c r="J66" i="4"/>
  <c r="K66" i="4"/>
  <c r="B67" i="4"/>
  <c r="H67" i="4" s="1"/>
  <c r="B68" i="4"/>
  <c r="H68" i="4" s="1"/>
  <c r="B69" i="4"/>
  <c r="H69" i="4"/>
  <c r="J69" i="4"/>
  <c r="K69" i="4"/>
  <c r="B70" i="4"/>
  <c r="H70" i="4" s="1"/>
  <c r="B71" i="4"/>
  <c r="H71" i="4" s="1"/>
  <c r="B72" i="4"/>
  <c r="H72" i="4"/>
  <c r="J72" i="4"/>
  <c r="K72" i="4"/>
  <c r="B73" i="4"/>
  <c r="H73" i="4" s="1"/>
  <c r="B74" i="4"/>
  <c r="H74" i="4" s="1"/>
  <c r="B75" i="4"/>
  <c r="H75" i="4"/>
  <c r="J75" i="4"/>
  <c r="K75" i="4"/>
  <c r="B76" i="4"/>
  <c r="H76" i="4" s="1"/>
  <c r="B77" i="4"/>
  <c r="H77" i="4" s="1"/>
  <c r="G77" i="4"/>
  <c r="B78" i="4"/>
  <c r="H78" i="4"/>
  <c r="J78" i="4"/>
  <c r="K78" i="4"/>
  <c r="B79" i="4"/>
  <c r="H79" i="4" s="1"/>
  <c r="B80" i="4"/>
  <c r="H80" i="4"/>
  <c r="J80" i="4" s="1"/>
  <c r="B81" i="4"/>
  <c r="H81" i="4"/>
  <c r="J81" i="4"/>
  <c r="K81" i="4"/>
  <c r="B82" i="4"/>
  <c r="H82" i="4" s="1"/>
  <c r="B83" i="4"/>
  <c r="H83" i="4"/>
  <c r="J83" i="4" s="1"/>
  <c r="B84" i="4"/>
  <c r="G84" i="4"/>
  <c r="H84" i="4"/>
  <c r="K84" i="4" s="1"/>
  <c r="J84" i="4"/>
  <c r="B85" i="4"/>
  <c r="H85" i="4"/>
  <c r="J85" i="4" s="1"/>
  <c r="B86" i="4"/>
  <c r="H86" i="4" s="1"/>
  <c r="B87" i="4"/>
  <c r="G87" i="4"/>
  <c r="H87" i="4"/>
  <c r="J87" i="4" s="1"/>
  <c r="B88" i="4"/>
  <c r="H88" i="4" s="1"/>
  <c r="B89" i="4"/>
  <c r="H89" i="4"/>
  <c r="J89" i="4"/>
  <c r="K89" i="4"/>
  <c r="B90" i="4"/>
  <c r="H90" i="4"/>
  <c r="J90" i="4" s="1"/>
  <c r="B91" i="4"/>
  <c r="H91" i="4" s="1"/>
  <c r="B92" i="4"/>
  <c r="H92" i="4"/>
  <c r="J92" i="4"/>
  <c r="K92" i="4"/>
  <c r="B93" i="4"/>
  <c r="H93" i="4"/>
  <c r="J93" i="4" s="1"/>
  <c r="B94" i="4"/>
  <c r="H94" i="4" s="1"/>
  <c r="B95" i="4"/>
  <c r="H95" i="4"/>
  <c r="J95" i="4"/>
  <c r="K95" i="4"/>
  <c r="B96" i="4"/>
  <c r="H96" i="4"/>
  <c r="J96" i="4" s="1"/>
  <c r="B97" i="4"/>
  <c r="H97" i="4" s="1"/>
  <c r="B98" i="4"/>
  <c r="H98" i="4"/>
  <c r="J98" i="4"/>
  <c r="K98" i="4"/>
  <c r="B99" i="4"/>
  <c r="H99" i="4"/>
  <c r="J99" i="4" s="1"/>
  <c r="B100" i="4"/>
  <c r="H100" i="4" s="1"/>
  <c r="B101" i="4"/>
  <c r="H101" i="4"/>
  <c r="J101" i="4"/>
  <c r="K101" i="4"/>
  <c r="B102" i="4"/>
  <c r="H102" i="4"/>
  <c r="J102" i="4" s="1"/>
  <c r="J79" i="4" l="1"/>
  <c r="K79" i="4"/>
  <c r="H45" i="4"/>
  <c r="J44" i="4"/>
  <c r="K44" i="4"/>
  <c r="J11" i="4"/>
  <c r="K11" i="4"/>
  <c r="K67" i="4"/>
  <c r="J67" i="4"/>
  <c r="J21" i="4"/>
  <c r="K21" i="4"/>
  <c r="J94" i="4"/>
  <c r="K94" i="4"/>
  <c r="J32" i="4"/>
  <c r="K32" i="4"/>
  <c r="J6" i="4"/>
  <c r="K6" i="4"/>
  <c r="J5" i="4"/>
  <c r="K5" i="4"/>
  <c r="J68" i="4"/>
  <c r="K68" i="4"/>
  <c r="K26" i="4"/>
  <c r="J26" i="4"/>
  <c r="J65" i="4"/>
  <c r="K65" i="4"/>
  <c r="J100" i="4"/>
  <c r="K100" i="4"/>
  <c r="J62" i="4"/>
  <c r="K62" i="4"/>
  <c r="J39" i="4"/>
  <c r="K39" i="4"/>
  <c r="J38" i="4"/>
  <c r="K38" i="4"/>
  <c r="J56" i="4"/>
  <c r="K56" i="4"/>
  <c r="J97" i="4"/>
  <c r="K97" i="4"/>
  <c r="K76" i="4"/>
  <c r="J76" i="4"/>
  <c r="J54" i="4"/>
  <c r="K54" i="4"/>
  <c r="J30" i="4"/>
  <c r="K30" i="4"/>
  <c r="J13" i="4"/>
  <c r="K13" i="4"/>
  <c r="J4" i="4"/>
  <c r="K4" i="4"/>
  <c r="J16" i="4"/>
  <c r="K16" i="4"/>
  <c r="K73" i="4"/>
  <c r="J73" i="4"/>
  <c r="J33" i="4"/>
  <c r="K33" i="4"/>
  <c r="J71" i="4"/>
  <c r="K71" i="4"/>
  <c r="J42" i="4"/>
  <c r="K42" i="4"/>
  <c r="H24" i="4"/>
  <c r="J74" i="4"/>
  <c r="K74" i="4"/>
  <c r="J51" i="4"/>
  <c r="K51" i="4"/>
  <c r="J27" i="4"/>
  <c r="K27" i="4"/>
  <c r="J88" i="4"/>
  <c r="K88" i="4"/>
  <c r="J82" i="4"/>
  <c r="K82" i="4"/>
  <c r="J77" i="4"/>
  <c r="K77" i="4"/>
  <c r="K70" i="4"/>
  <c r="J70" i="4"/>
  <c r="J48" i="4"/>
  <c r="K48" i="4"/>
  <c r="J36" i="4"/>
  <c r="K36" i="4"/>
  <c r="J86" i="4"/>
  <c r="K86" i="4"/>
  <c r="K64" i="4"/>
  <c r="J64" i="4"/>
  <c r="J59" i="4"/>
  <c r="K59" i="4"/>
  <c r="J41" i="4"/>
  <c r="K41" i="4"/>
  <c r="J35" i="4"/>
  <c r="K35" i="4"/>
  <c r="J18" i="4"/>
  <c r="K18" i="4"/>
  <c r="J91" i="4"/>
  <c r="K91" i="4"/>
  <c r="J29" i="4"/>
  <c r="K29" i="4"/>
  <c r="K12" i="4"/>
  <c r="J12" i="4"/>
  <c r="J8" i="4"/>
  <c r="K8" i="4"/>
  <c r="J3" i="4"/>
  <c r="K3" i="4"/>
  <c r="E14" i="4"/>
  <c r="K22" i="4"/>
  <c r="K83" i="4"/>
  <c r="K80" i="4"/>
  <c r="K85" i="4"/>
  <c r="K53" i="4"/>
  <c r="K50" i="4"/>
  <c r="K47" i="4"/>
  <c r="K15" i="4"/>
  <c r="K10" i="4"/>
  <c r="K102" i="4"/>
  <c r="K99" i="4"/>
  <c r="K96" i="4"/>
  <c r="K93" i="4"/>
  <c r="K90" i="4"/>
  <c r="K87" i="4"/>
  <c r="K61" i="4"/>
  <c r="K58" i="4"/>
  <c r="K55" i="4"/>
  <c r="K23" i="4"/>
  <c r="K20" i="4"/>
  <c r="K17" i="4"/>
  <c r="K7" i="4"/>
  <c r="B104" i="4"/>
  <c r="J45" i="4" l="1"/>
  <c r="K45" i="4"/>
  <c r="J24" i="4"/>
  <c r="K24" i="4"/>
  <c r="J104" i="4" l="1"/>
  <c r="K104" i="4"/>
  <c r="L104" i="4" s="1"/>
  <c r="K106" i="4" l="1"/>
  <c r="K108" i="4"/>
  <c r="J106" i="4"/>
  <c r="J108" i="4" l="1"/>
  <c r="M104" i="4" s="1"/>
</calcChain>
</file>

<file path=xl/sharedStrings.xml><?xml version="1.0" encoding="utf-8"?>
<sst xmlns="http://schemas.openxmlformats.org/spreadsheetml/2006/main" count="31" uniqueCount="30">
  <si>
    <t>normal</t>
  </si>
  <si>
    <t>a</t>
  </si>
  <si>
    <t>d</t>
  </si>
  <si>
    <t>a+c</t>
  </si>
  <si>
    <t>b+d</t>
  </si>
  <si>
    <t>b</t>
  </si>
  <si>
    <t>sensib</t>
  </si>
  <si>
    <t>c</t>
  </si>
  <si>
    <t>Worsheets:</t>
  </si>
  <si>
    <t>Contains</t>
  </si>
  <si>
    <t>Signal+noise</t>
  </si>
  <si>
    <t>noise (qui.square)</t>
  </si>
  <si>
    <t>occurrence times (Poisson)</t>
  </si>
  <si>
    <t>signal (amp)</t>
  </si>
  <si>
    <t>Gain</t>
  </si>
  <si>
    <t>signal w/ gain</t>
  </si>
  <si>
    <t>signal+noise</t>
  </si>
  <si>
    <t>threshold</t>
  </si>
  <si>
    <t>Detections</t>
  </si>
  <si>
    <t>Correct detections</t>
  </si>
  <si>
    <t>specif</t>
  </si>
  <si>
    <t xml:space="preserve">100 samples of signal + noise. </t>
  </si>
  <si>
    <t>The arrival times of the signal impulses have a Poisson distribution.</t>
  </si>
  <si>
    <t>Changing the value of the detection threshold will</t>
  </si>
  <si>
    <t>change the performed detections.</t>
  </si>
  <si>
    <t>Data</t>
  </si>
  <si>
    <t>Column A: 8 times the signal + noise sequence</t>
  </si>
  <si>
    <t>Column B: True detections for 8 different thresholds (0.8, 1, 2, 3, 4, 5, 6, 7)</t>
  </si>
  <si>
    <t>Both amplitudes of signal and noise have a chi-square distribution.</t>
  </si>
  <si>
    <t>Below, the computed sensibility and specificity are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</si>
</sst>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59969256784788"/>
          <c:y val="7.8593288383672258E-2"/>
          <c:w val="0.57024403616529806"/>
          <c:h val="0.79135311062180336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'Signal+noise'!$B$3:$B$102</c:f>
              <c:numCache>
                <c:formatCode>General</c:formatCode>
                <c:ptCount val="100"/>
                <c:pt idx="0">
                  <c:v>9.0139349378193914E-2</c:v>
                </c:pt>
                <c:pt idx="1">
                  <c:v>1.6324742781863637</c:v>
                </c:pt>
                <c:pt idx="2">
                  <c:v>5.9661632371334705E-2</c:v>
                </c:pt>
                <c:pt idx="3">
                  <c:v>1.629384698834679</c:v>
                </c:pt>
                <c:pt idx="4">
                  <c:v>1.4360432475115879</c:v>
                </c:pt>
                <c:pt idx="5">
                  <c:v>3.0037503551355682</c:v>
                </c:pt>
                <c:pt idx="6">
                  <c:v>4.7680549797815299</c:v>
                </c:pt>
                <c:pt idx="7">
                  <c:v>5.484085470697786E-2</c:v>
                </c:pt>
                <c:pt idx="8">
                  <c:v>1.1990743324202375</c:v>
                </c:pt>
                <c:pt idx="9">
                  <c:v>1.1809183015506208</c:v>
                </c:pt>
                <c:pt idx="10">
                  <c:v>0.47638178316005664</c:v>
                </c:pt>
                <c:pt idx="11">
                  <c:v>2.8575614536888798</c:v>
                </c:pt>
                <c:pt idx="12">
                  <c:v>3.4110798388891475</c:v>
                </c:pt>
                <c:pt idx="13">
                  <c:v>0.95575943410102848</c:v>
                </c:pt>
                <c:pt idx="14">
                  <c:v>0.59831316253181888</c:v>
                </c:pt>
                <c:pt idx="15">
                  <c:v>4.48563264024639</c:v>
                </c:pt>
                <c:pt idx="16">
                  <c:v>0.32253865975357943</c:v>
                </c:pt>
                <c:pt idx="17">
                  <c:v>0.1632544378015795</c:v>
                </c:pt>
                <c:pt idx="18">
                  <c:v>1.8185345948900405E-2</c:v>
                </c:pt>
                <c:pt idx="19">
                  <c:v>0.13358509756664996</c:v>
                </c:pt>
                <c:pt idx="20">
                  <c:v>0.10692287219178176</c:v>
                </c:pt>
                <c:pt idx="21">
                  <c:v>0.13707803806100227</c:v>
                </c:pt>
                <c:pt idx="22">
                  <c:v>1.8026863411641771</c:v>
                </c:pt>
                <c:pt idx="23">
                  <c:v>7.2734382737937309E-3</c:v>
                </c:pt>
                <c:pt idx="24">
                  <c:v>3.4654670391277523E-2</c:v>
                </c:pt>
                <c:pt idx="25">
                  <c:v>0.26338183190408626</c:v>
                </c:pt>
                <c:pt idx="26">
                  <c:v>3.8896200780945733</c:v>
                </c:pt>
                <c:pt idx="27">
                  <c:v>0.74938969671029354</c:v>
                </c:pt>
                <c:pt idx="28">
                  <c:v>5.6437353995590325</c:v>
                </c:pt>
                <c:pt idx="29">
                  <c:v>0.42890274787210403</c:v>
                </c:pt>
                <c:pt idx="30">
                  <c:v>2.7604354625859435</c:v>
                </c:pt>
                <c:pt idx="31">
                  <c:v>2.5998262850419533</c:v>
                </c:pt>
                <c:pt idx="32">
                  <c:v>0.29046534593159479</c:v>
                </c:pt>
                <c:pt idx="33">
                  <c:v>0.81394942926578606</c:v>
                </c:pt>
                <c:pt idx="34">
                  <c:v>3.6822370278426404</c:v>
                </c:pt>
                <c:pt idx="35">
                  <c:v>7.1431349352789539E-3</c:v>
                </c:pt>
                <c:pt idx="36">
                  <c:v>0.27436125626574287</c:v>
                </c:pt>
                <c:pt idx="37">
                  <c:v>0.45581183317096047</c:v>
                </c:pt>
                <c:pt idx="38">
                  <c:v>0.145407873707285</c:v>
                </c:pt>
                <c:pt idx="39">
                  <c:v>0.57397497327622893</c:v>
                </c:pt>
                <c:pt idx="40">
                  <c:v>2.0856750423311814</c:v>
                </c:pt>
                <c:pt idx="41">
                  <c:v>0.7178114080091974</c:v>
                </c:pt>
                <c:pt idx="42">
                  <c:v>2.315178288703605</c:v>
                </c:pt>
                <c:pt idx="43">
                  <c:v>0.13167972970169131</c:v>
                </c:pt>
                <c:pt idx="44">
                  <c:v>1.0548979564097877E-3</c:v>
                </c:pt>
                <c:pt idx="45">
                  <c:v>7.9056730321523086E-4</c:v>
                </c:pt>
                <c:pt idx="46">
                  <c:v>0.10414561990257987</c:v>
                </c:pt>
                <c:pt idx="47">
                  <c:v>4.815837167127329</c:v>
                </c:pt>
                <c:pt idx="48">
                  <c:v>3.036245991974992</c:v>
                </c:pt>
                <c:pt idx="49">
                  <c:v>0.54239833791789183</c:v>
                </c:pt>
                <c:pt idx="50">
                  <c:v>6.6439224939048565</c:v>
                </c:pt>
                <c:pt idx="51">
                  <c:v>2.0957484336860639</c:v>
                </c:pt>
                <c:pt idx="52">
                  <c:v>1.6377949673174805</c:v>
                </c:pt>
                <c:pt idx="53">
                  <c:v>0.42716674544694572</c:v>
                </c:pt>
                <c:pt idx="54">
                  <c:v>0.57413001853683043</c:v>
                </c:pt>
                <c:pt idx="55">
                  <c:v>0.21781986103079626</c:v>
                </c:pt>
                <c:pt idx="56">
                  <c:v>0.7649404808816439</c:v>
                </c:pt>
                <c:pt idx="57">
                  <c:v>0.35490825298261169</c:v>
                </c:pt>
                <c:pt idx="58">
                  <c:v>1.8819723562114483</c:v>
                </c:pt>
                <c:pt idx="59">
                  <c:v>1.244872493116234</c:v>
                </c:pt>
                <c:pt idx="60">
                  <c:v>0.48162833780041647</c:v>
                </c:pt>
                <c:pt idx="61">
                  <c:v>0.10409426224874979</c:v>
                </c:pt>
                <c:pt idx="62">
                  <c:v>0.88329493760555644</c:v>
                </c:pt>
                <c:pt idx="63">
                  <c:v>5.8055882740078328E-2</c:v>
                </c:pt>
                <c:pt idx="64">
                  <c:v>1.7301632809585906E-2</c:v>
                </c:pt>
                <c:pt idx="65">
                  <c:v>0.31113821619336707</c:v>
                </c:pt>
                <c:pt idx="66">
                  <c:v>1.9241849850620073E-2</c:v>
                </c:pt>
                <c:pt idx="67">
                  <c:v>0.82985042082735083</c:v>
                </c:pt>
                <c:pt idx="68">
                  <c:v>3.5526441229198706</c:v>
                </c:pt>
                <c:pt idx="69">
                  <c:v>0.23736200992999917</c:v>
                </c:pt>
                <c:pt idx="70">
                  <c:v>5.2184572898451628E-3</c:v>
                </c:pt>
                <c:pt idx="71">
                  <c:v>0.68863634384563011</c:v>
                </c:pt>
                <c:pt idx="72">
                  <c:v>0.74305729150743316</c:v>
                </c:pt>
                <c:pt idx="73">
                  <c:v>0.40517230916219832</c:v>
                </c:pt>
                <c:pt idx="74">
                  <c:v>0.85228290014390207</c:v>
                </c:pt>
                <c:pt idx="75">
                  <c:v>1.234740536603671</c:v>
                </c:pt>
                <c:pt idx="76">
                  <c:v>1.4428303836343117</c:v>
                </c:pt>
                <c:pt idx="77">
                  <c:v>2.4301446066695034</c:v>
                </c:pt>
                <c:pt idx="78">
                  <c:v>0.50598311507234672</c:v>
                </c:pt>
                <c:pt idx="79">
                  <c:v>0.40756242958071875</c:v>
                </c:pt>
                <c:pt idx="80">
                  <c:v>4.8650611451700589</c:v>
                </c:pt>
                <c:pt idx="81">
                  <c:v>2.0844274228738677</c:v>
                </c:pt>
                <c:pt idx="82">
                  <c:v>1.7001653814966449</c:v>
                </c:pt>
                <c:pt idx="83">
                  <c:v>1.2760047185095153E-2</c:v>
                </c:pt>
                <c:pt idx="84">
                  <c:v>3.8058786778717942E-6</c:v>
                </c:pt>
                <c:pt idx="85">
                  <c:v>0.20584498938018103</c:v>
                </c:pt>
                <c:pt idx="86">
                  <c:v>6.5100180366184672E-4</c:v>
                </c:pt>
                <c:pt idx="87">
                  <c:v>1.1123394975424656</c:v>
                </c:pt>
                <c:pt idx="88">
                  <c:v>3.1499368733921935</c:v>
                </c:pt>
                <c:pt idx="89">
                  <c:v>0.68613289925796739</c:v>
                </c:pt>
                <c:pt idx="90">
                  <c:v>0.19733540390099974</c:v>
                </c:pt>
                <c:pt idx="91">
                  <c:v>0.38180801380529505</c:v>
                </c:pt>
                <c:pt idx="92">
                  <c:v>4.5570801053470888E-2</c:v>
                </c:pt>
                <c:pt idx="93">
                  <c:v>1.054587137871418</c:v>
                </c:pt>
                <c:pt idx="94">
                  <c:v>1.5331273085811192</c:v>
                </c:pt>
                <c:pt idx="95">
                  <c:v>9.6853637672801599E-2</c:v>
                </c:pt>
                <c:pt idx="96">
                  <c:v>0.70546857584357781</c:v>
                </c:pt>
                <c:pt idx="97">
                  <c:v>0.67425151516727211</c:v>
                </c:pt>
                <c:pt idx="98">
                  <c:v>0.18403476639879496</c:v>
                </c:pt>
                <c:pt idx="99">
                  <c:v>0.20553665723945769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A1-4BF7-B5A3-75B1EA250991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'Signal+noise'!$H$3:$H$102</c:f>
              <c:numCache>
                <c:formatCode>General</c:formatCode>
                <c:ptCount val="100"/>
                <c:pt idx="0">
                  <c:v>9.0139349378193914E-2</c:v>
                </c:pt>
                <c:pt idx="1">
                  <c:v>1.6324742781863637</c:v>
                </c:pt>
                <c:pt idx="2">
                  <c:v>5.9661632371334705E-2</c:v>
                </c:pt>
                <c:pt idx="3">
                  <c:v>4.332742394567239</c:v>
                </c:pt>
                <c:pt idx="4">
                  <c:v>1.4360432475115879</c:v>
                </c:pt>
                <c:pt idx="5">
                  <c:v>3.0037503551355682</c:v>
                </c:pt>
                <c:pt idx="6">
                  <c:v>4.7680549797815299</c:v>
                </c:pt>
                <c:pt idx="7">
                  <c:v>5.484085470697786E-2</c:v>
                </c:pt>
                <c:pt idx="8">
                  <c:v>1.1990743324202375</c:v>
                </c:pt>
                <c:pt idx="9">
                  <c:v>1.1809183015506208</c:v>
                </c:pt>
                <c:pt idx="10">
                  <c:v>0.47638178316005664</c:v>
                </c:pt>
                <c:pt idx="11">
                  <c:v>2.8575614536888798</c:v>
                </c:pt>
                <c:pt idx="12">
                  <c:v>3.4110798388891475</c:v>
                </c:pt>
                <c:pt idx="13">
                  <c:v>0.96188686924722411</c:v>
                </c:pt>
                <c:pt idx="14">
                  <c:v>0.59831316253181888</c:v>
                </c:pt>
                <c:pt idx="15">
                  <c:v>4.48563264024639</c:v>
                </c:pt>
                <c:pt idx="16">
                  <c:v>0.32253865975357943</c:v>
                </c:pt>
                <c:pt idx="17">
                  <c:v>0.1632544378015795</c:v>
                </c:pt>
                <c:pt idx="18">
                  <c:v>1.8185345948900405E-2</c:v>
                </c:pt>
                <c:pt idx="19">
                  <c:v>0.13358509756664996</c:v>
                </c:pt>
                <c:pt idx="20">
                  <c:v>0.10692287219178176</c:v>
                </c:pt>
                <c:pt idx="21">
                  <c:v>1.646524855572681</c:v>
                </c:pt>
                <c:pt idx="22">
                  <c:v>1.8026863411641771</c:v>
                </c:pt>
                <c:pt idx="23">
                  <c:v>7.2734382737937309E-3</c:v>
                </c:pt>
                <c:pt idx="24">
                  <c:v>3.4654670391277523E-2</c:v>
                </c:pt>
                <c:pt idx="25">
                  <c:v>0.26338183190408626</c:v>
                </c:pt>
                <c:pt idx="26">
                  <c:v>5.6206747247505175</c:v>
                </c:pt>
                <c:pt idx="27">
                  <c:v>0.74938969671029354</c:v>
                </c:pt>
                <c:pt idx="28">
                  <c:v>5.6437353995590325</c:v>
                </c:pt>
                <c:pt idx="29">
                  <c:v>0.42890274787210403</c:v>
                </c:pt>
                <c:pt idx="30">
                  <c:v>2.7604354625859435</c:v>
                </c:pt>
                <c:pt idx="31">
                  <c:v>2.5998262850419533</c:v>
                </c:pt>
                <c:pt idx="32">
                  <c:v>0.29046534593159479</c:v>
                </c:pt>
                <c:pt idx="33">
                  <c:v>0.81394942926578606</c:v>
                </c:pt>
                <c:pt idx="34">
                  <c:v>3.6822370278426404</c:v>
                </c:pt>
                <c:pt idx="35">
                  <c:v>7.1431349352789539E-3</c:v>
                </c:pt>
                <c:pt idx="36">
                  <c:v>0.27436125626574287</c:v>
                </c:pt>
                <c:pt idx="37">
                  <c:v>0.45581183317096047</c:v>
                </c:pt>
                <c:pt idx="38">
                  <c:v>0.145407873707285</c:v>
                </c:pt>
                <c:pt idx="39">
                  <c:v>0.57397497327622893</c:v>
                </c:pt>
                <c:pt idx="40">
                  <c:v>2.0856750423311814</c:v>
                </c:pt>
                <c:pt idx="41">
                  <c:v>0.7178114080091974</c:v>
                </c:pt>
                <c:pt idx="42">
                  <c:v>6.8844107382684996</c:v>
                </c:pt>
                <c:pt idx="43">
                  <c:v>0.13167972970169131</c:v>
                </c:pt>
                <c:pt idx="44">
                  <c:v>1.0548979564097877E-3</c:v>
                </c:pt>
                <c:pt idx="45">
                  <c:v>7.9056730321523086E-4</c:v>
                </c:pt>
                <c:pt idx="46">
                  <c:v>0.10414561990257987</c:v>
                </c:pt>
                <c:pt idx="47">
                  <c:v>4.815837167127329</c:v>
                </c:pt>
                <c:pt idx="48">
                  <c:v>3.036245991974992</c:v>
                </c:pt>
                <c:pt idx="49">
                  <c:v>0.54239833791789183</c:v>
                </c:pt>
                <c:pt idx="50">
                  <c:v>6.6439224939048565</c:v>
                </c:pt>
                <c:pt idx="51">
                  <c:v>2.0957484336860639</c:v>
                </c:pt>
                <c:pt idx="52">
                  <c:v>15.026122250756154</c:v>
                </c:pt>
                <c:pt idx="53">
                  <c:v>0.42716674544694572</c:v>
                </c:pt>
                <c:pt idx="54">
                  <c:v>0.57413001853683043</c:v>
                </c:pt>
                <c:pt idx="55">
                  <c:v>0.21781986103079626</c:v>
                </c:pt>
                <c:pt idx="56">
                  <c:v>0.7649404808816439</c:v>
                </c:pt>
                <c:pt idx="57">
                  <c:v>0.35490825298261169</c:v>
                </c:pt>
                <c:pt idx="58">
                  <c:v>1.8819723562114483</c:v>
                </c:pt>
                <c:pt idx="59">
                  <c:v>1.244872493116234</c:v>
                </c:pt>
                <c:pt idx="60">
                  <c:v>0.48162833780041647</c:v>
                </c:pt>
                <c:pt idx="61">
                  <c:v>9.8085731059050332</c:v>
                </c:pt>
                <c:pt idx="62">
                  <c:v>0.88329493760555644</c:v>
                </c:pt>
                <c:pt idx="63">
                  <c:v>5.8055882740078328E-2</c:v>
                </c:pt>
                <c:pt idx="64">
                  <c:v>1.7301632809585906E-2</c:v>
                </c:pt>
                <c:pt idx="65">
                  <c:v>0.31113821619336707</c:v>
                </c:pt>
                <c:pt idx="66">
                  <c:v>1.9241849850620073E-2</c:v>
                </c:pt>
                <c:pt idx="67">
                  <c:v>0.82985042082735083</c:v>
                </c:pt>
                <c:pt idx="68">
                  <c:v>3.5526441229198706</c:v>
                </c:pt>
                <c:pt idx="69">
                  <c:v>0.23736200992999917</c:v>
                </c:pt>
                <c:pt idx="70">
                  <c:v>5.2184572898451628E-3</c:v>
                </c:pt>
                <c:pt idx="71">
                  <c:v>0.68863634384563011</c:v>
                </c:pt>
                <c:pt idx="72">
                  <c:v>0.74305729150743316</c:v>
                </c:pt>
                <c:pt idx="73">
                  <c:v>0.40517230916219832</c:v>
                </c:pt>
                <c:pt idx="74">
                  <c:v>5.3211469075212108</c:v>
                </c:pt>
                <c:pt idx="75">
                  <c:v>1.234740536603671</c:v>
                </c:pt>
                <c:pt idx="76">
                  <c:v>1.4428303836343117</c:v>
                </c:pt>
                <c:pt idx="77">
                  <c:v>2.4301446066695034</c:v>
                </c:pt>
                <c:pt idx="78">
                  <c:v>0.50598311507234672</c:v>
                </c:pt>
                <c:pt idx="79">
                  <c:v>0.40756242958071875</c:v>
                </c:pt>
                <c:pt idx="80">
                  <c:v>4.8650611451700589</c:v>
                </c:pt>
                <c:pt idx="81">
                  <c:v>2.3745644472752576</c:v>
                </c:pt>
                <c:pt idx="82">
                  <c:v>1.7001653814966449</c:v>
                </c:pt>
                <c:pt idx="83">
                  <c:v>1.2760047185095153E-2</c:v>
                </c:pt>
                <c:pt idx="84">
                  <c:v>14.042534275623778</c:v>
                </c:pt>
                <c:pt idx="85">
                  <c:v>0.20584498938018103</c:v>
                </c:pt>
                <c:pt idx="86">
                  <c:v>6.5100180366184672E-4</c:v>
                </c:pt>
                <c:pt idx="87">
                  <c:v>1.1123394975424656</c:v>
                </c:pt>
                <c:pt idx="88">
                  <c:v>3.1499368733921935</c:v>
                </c:pt>
                <c:pt idx="89">
                  <c:v>0.68613289925796739</c:v>
                </c:pt>
                <c:pt idx="90">
                  <c:v>0.19733540390099974</c:v>
                </c:pt>
                <c:pt idx="91">
                  <c:v>0.38180801380529505</c:v>
                </c:pt>
                <c:pt idx="92">
                  <c:v>4.5570801053470888E-2</c:v>
                </c:pt>
                <c:pt idx="93">
                  <c:v>1.054587137871418</c:v>
                </c:pt>
                <c:pt idx="94">
                  <c:v>1.5331273085811192</c:v>
                </c:pt>
                <c:pt idx="95">
                  <c:v>9.6853637672801599E-2</c:v>
                </c:pt>
                <c:pt idx="96">
                  <c:v>0.70546857584357781</c:v>
                </c:pt>
                <c:pt idx="97">
                  <c:v>0.67425151516727211</c:v>
                </c:pt>
                <c:pt idx="98">
                  <c:v>0.18403476639879496</c:v>
                </c:pt>
                <c:pt idx="99">
                  <c:v>0.20553665723945769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A1-4BF7-B5A3-75B1EA250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90751"/>
        <c:axId val="1"/>
      </c:lineChart>
      <c:catAx>
        <c:axId val="151190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19075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036181971910097"/>
          <c:y val="0.41735746245122513"/>
          <c:w val="0.24158121729170265"/>
          <c:h val="0.116534875879238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35681871428791"/>
          <c:y val="0.13095699066064648"/>
          <c:w val="0.80943741610990472"/>
          <c:h val="0.6428797723340826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'Signal+noise'!$H$3:$H$102</c:f>
              <c:numCache>
                <c:formatCode>General</c:formatCode>
                <c:ptCount val="100"/>
                <c:pt idx="0">
                  <c:v>9.0139349378193914E-2</c:v>
                </c:pt>
                <c:pt idx="1">
                  <c:v>1.6324742781863637</c:v>
                </c:pt>
                <c:pt idx="2">
                  <c:v>5.9661632371334705E-2</c:v>
                </c:pt>
                <c:pt idx="3">
                  <c:v>4.332742394567239</c:v>
                </c:pt>
                <c:pt idx="4">
                  <c:v>1.4360432475115879</c:v>
                </c:pt>
                <c:pt idx="5">
                  <c:v>3.0037503551355682</c:v>
                </c:pt>
                <c:pt idx="6">
                  <c:v>4.7680549797815299</c:v>
                </c:pt>
                <c:pt idx="7">
                  <c:v>5.484085470697786E-2</c:v>
                </c:pt>
                <c:pt idx="8">
                  <c:v>1.1990743324202375</c:v>
                </c:pt>
                <c:pt idx="9">
                  <c:v>1.1809183015506208</c:v>
                </c:pt>
                <c:pt idx="10">
                  <c:v>0.47638178316005664</c:v>
                </c:pt>
                <c:pt idx="11">
                  <c:v>2.8575614536888798</c:v>
                </c:pt>
                <c:pt idx="12">
                  <c:v>3.4110798388891475</c:v>
                </c:pt>
                <c:pt idx="13">
                  <c:v>0.96188686924722411</c:v>
                </c:pt>
                <c:pt idx="14">
                  <c:v>0.59831316253181888</c:v>
                </c:pt>
                <c:pt idx="15">
                  <c:v>4.48563264024639</c:v>
                </c:pt>
                <c:pt idx="16">
                  <c:v>0.32253865975357943</c:v>
                </c:pt>
                <c:pt idx="17">
                  <c:v>0.1632544378015795</c:v>
                </c:pt>
                <c:pt idx="18">
                  <c:v>1.8185345948900405E-2</c:v>
                </c:pt>
                <c:pt idx="19">
                  <c:v>0.13358509756664996</c:v>
                </c:pt>
                <c:pt idx="20">
                  <c:v>0.10692287219178176</c:v>
                </c:pt>
                <c:pt idx="21">
                  <c:v>1.646524855572681</c:v>
                </c:pt>
                <c:pt idx="22">
                  <c:v>1.8026863411641771</c:v>
                </c:pt>
                <c:pt idx="23">
                  <c:v>7.2734382737937309E-3</c:v>
                </c:pt>
                <c:pt idx="24">
                  <c:v>3.4654670391277523E-2</c:v>
                </c:pt>
                <c:pt idx="25">
                  <c:v>0.26338183190408626</c:v>
                </c:pt>
                <c:pt idx="26">
                  <c:v>5.6206747247505175</c:v>
                </c:pt>
                <c:pt idx="27">
                  <c:v>0.74938969671029354</c:v>
                </c:pt>
                <c:pt idx="28">
                  <c:v>5.6437353995590325</c:v>
                </c:pt>
                <c:pt idx="29">
                  <c:v>0.42890274787210403</c:v>
                </c:pt>
                <c:pt idx="30">
                  <c:v>2.7604354625859435</c:v>
                </c:pt>
                <c:pt idx="31">
                  <c:v>2.5998262850419533</c:v>
                </c:pt>
                <c:pt idx="32">
                  <c:v>0.29046534593159479</c:v>
                </c:pt>
                <c:pt idx="33">
                  <c:v>0.81394942926578606</c:v>
                </c:pt>
                <c:pt idx="34">
                  <c:v>3.6822370278426404</c:v>
                </c:pt>
                <c:pt idx="35">
                  <c:v>7.1431349352789539E-3</c:v>
                </c:pt>
                <c:pt idx="36">
                  <c:v>0.27436125626574287</c:v>
                </c:pt>
                <c:pt idx="37">
                  <c:v>0.45581183317096047</c:v>
                </c:pt>
                <c:pt idx="38">
                  <c:v>0.145407873707285</c:v>
                </c:pt>
                <c:pt idx="39">
                  <c:v>0.57397497327622893</c:v>
                </c:pt>
                <c:pt idx="40">
                  <c:v>2.0856750423311814</c:v>
                </c:pt>
                <c:pt idx="41">
                  <c:v>0.7178114080091974</c:v>
                </c:pt>
                <c:pt idx="42">
                  <c:v>6.8844107382684996</c:v>
                </c:pt>
                <c:pt idx="43">
                  <c:v>0.13167972970169131</c:v>
                </c:pt>
                <c:pt idx="44">
                  <c:v>1.0548979564097877E-3</c:v>
                </c:pt>
                <c:pt idx="45">
                  <c:v>7.9056730321523086E-4</c:v>
                </c:pt>
                <c:pt idx="46">
                  <c:v>0.10414561990257987</c:v>
                </c:pt>
                <c:pt idx="47">
                  <c:v>4.815837167127329</c:v>
                </c:pt>
                <c:pt idx="48">
                  <c:v>3.036245991974992</c:v>
                </c:pt>
                <c:pt idx="49">
                  <c:v>0.54239833791789183</c:v>
                </c:pt>
                <c:pt idx="50">
                  <c:v>6.6439224939048565</c:v>
                </c:pt>
                <c:pt idx="51">
                  <c:v>2.0957484336860639</c:v>
                </c:pt>
                <c:pt idx="52">
                  <c:v>15.026122250756154</c:v>
                </c:pt>
                <c:pt idx="53">
                  <c:v>0.42716674544694572</c:v>
                </c:pt>
                <c:pt idx="54">
                  <c:v>0.57413001853683043</c:v>
                </c:pt>
                <c:pt idx="55">
                  <c:v>0.21781986103079626</c:v>
                </c:pt>
                <c:pt idx="56">
                  <c:v>0.7649404808816439</c:v>
                </c:pt>
                <c:pt idx="57">
                  <c:v>0.35490825298261169</c:v>
                </c:pt>
                <c:pt idx="58">
                  <c:v>1.8819723562114483</c:v>
                </c:pt>
                <c:pt idx="59">
                  <c:v>1.244872493116234</c:v>
                </c:pt>
                <c:pt idx="60">
                  <c:v>0.48162833780041647</c:v>
                </c:pt>
                <c:pt idx="61">
                  <c:v>9.8085731059050332</c:v>
                </c:pt>
                <c:pt idx="62">
                  <c:v>0.88329493760555644</c:v>
                </c:pt>
                <c:pt idx="63">
                  <c:v>5.8055882740078328E-2</c:v>
                </c:pt>
                <c:pt idx="64">
                  <c:v>1.7301632809585906E-2</c:v>
                </c:pt>
                <c:pt idx="65">
                  <c:v>0.31113821619336707</c:v>
                </c:pt>
                <c:pt idx="66">
                  <c:v>1.9241849850620073E-2</c:v>
                </c:pt>
                <c:pt idx="67">
                  <c:v>0.82985042082735083</c:v>
                </c:pt>
                <c:pt idx="68">
                  <c:v>3.5526441229198706</c:v>
                </c:pt>
                <c:pt idx="69">
                  <c:v>0.23736200992999917</c:v>
                </c:pt>
                <c:pt idx="70">
                  <c:v>5.2184572898451628E-3</c:v>
                </c:pt>
                <c:pt idx="71">
                  <c:v>0.68863634384563011</c:v>
                </c:pt>
                <c:pt idx="72">
                  <c:v>0.74305729150743316</c:v>
                </c:pt>
                <c:pt idx="73">
                  <c:v>0.40517230916219832</c:v>
                </c:pt>
                <c:pt idx="74">
                  <c:v>5.3211469075212108</c:v>
                </c:pt>
                <c:pt idx="75">
                  <c:v>1.234740536603671</c:v>
                </c:pt>
                <c:pt idx="76">
                  <c:v>1.4428303836343117</c:v>
                </c:pt>
                <c:pt idx="77">
                  <c:v>2.4301446066695034</c:v>
                </c:pt>
                <c:pt idx="78">
                  <c:v>0.50598311507234672</c:v>
                </c:pt>
                <c:pt idx="79">
                  <c:v>0.40756242958071875</c:v>
                </c:pt>
                <c:pt idx="80">
                  <c:v>4.8650611451700589</c:v>
                </c:pt>
                <c:pt idx="81">
                  <c:v>2.3745644472752576</c:v>
                </c:pt>
                <c:pt idx="82">
                  <c:v>1.7001653814966449</c:v>
                </c:pt>
                <c:pt idx="83">
                  <c:v>1.2760047185095153E-2</c:v>
                </c:pt>
                <c:pt idx="84">
                  <c:v>14.042534275623778</c:v>
                </c:pt>
                <c:pt idx="85">
                  <c:v>0.20584498938018103</c:v>
                </c:pt>
                <c:pt idx="86">
                  <c:v>6.5100180366184672E-4</c:v>
                </c:pt>
                <c:pt idx="87">
                  <c:v>1.1123394975424656</c:v>
                </c:pt>
                <c:pt idx="88">
                  <c:v>3.1499368733921935</c:v>
                </c:pt>
                <c:pt idx="89">
                  <c:v>0.68613289925796739</c:v>
                </c:pt>
                <c:pt idx="90">
                  <c:v>0.19733540390099974</c:v>
                </c:pt>
                <c:pt idx="91">
                  <c:v>0.38180801380529505</c:v>
                </c:pt>
                <c:pt idx="92">
                  <c:v>4.5570801053470888E-2</c:v>
                </c:pt>
                <c:pt idx="93">
                  <c:v>1.054587137871418</c:v>
                </c:pt>
                <c:pt idx="94">
                  <c:v>1.5331273085811192</c:v>
                </c:pt>
                <c:pt idx="95">
                  <c:v>9.6853637672801599E-2</c:v>
                </c:pt>
                <c:pt idx="96">
                  <c:v>0.70546857584357781</c:v>
                </c:pt>
                <c:pt idx="97">
                  <c:v>0.67425151516727211</c:v>
                </c:pt>
                <c:pt idx="98">
                  <c:v>0.18403476639879496</c:v>
                </c:pt>
                <c:pt idx="99">
                  <c:v>0.20553665723945769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57-499C-9C37-8075364AB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91711"/>
        <c:axId val="1"/>
      </c:lineChart>
      <c:catAx>
        <c:axId val="151191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19171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38100</xdr:rowOff>
    </xdr:from>
    <xdr:to>
      <xdr:col>5</xdr:col>
      <xdr:colOff>137160</xdr:colOff>
      <xdr:row>36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E67E0D4C-1708-572E-3CC3-381513673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</xdr:colOff>
      <xdr:row>2</xdr:row>
      <xdr:rowOff>7620</xdr:rowOff>
    </xdr:from>
    <xdr:to>
      <xdr:col>21</xdr:col>
      <xdr:colOff>198120</xdr:colOff>
      <xdr:row>13</xdr:row>
      <xdr:rowOff>83820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049F9B46-1AD4-1782-A472-4C56CB207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1A91-DCD5-48A7-8F9F-CFAF7C309A74}">
  <dimension ref="A3:C19"/>
  <sheetViews>
    <sheetView topLeftCell="A4" workbookViewId="0">
      <selection activeCell="G15" sqref="G15"/>
    </sheetView>
  </sheetViews>
  <sheetFormatPr defaultRowHeight="13.2" x14ac:dyDescent="0.25"/>
  <sheetData>
    <row r="3" spans="1:3" x14ac:dyDescent="0.25">
      <c r="A3" s="3" t="s">
        <v>8</v>
      </c>
    </row>
    <row r="5" spans="1:3" s="3" customFormat="1" x14ac:dyDescent="0.25">
      <c r="A5" s="3" t="s">
        <v>10</v>
      </c>
    </row>
    <row r="7" spans="1:3" x14ac:dyDescent="0.25">
      <c r="B7" t="s">
        <v>9</v>
      </c>
      <c r="C7" t="s">
        <v>21</v>
      </c>
    </row>
    <row r="8" spans="1:3" x14ac:dyDescent="0.25">
      <c r="B8" t="s">
        <v>28</v>
      </c>
    </row>
    <row r="9" spans="1:3" x14ac:dyDescent="0.25">
      <c r="B9" t="s">
        <v>22</v>
      </c>
    </row>
    <row r="11" spans="1:3" x14ac:dyDescent="0.25">
      <c r="B11" t="s">
        <v>23</v>
      </c>
    </row>
    <row r="12" spans="1:3" x14ac:dyDescent="0.25">
      <c r="B12" t="s">
        <v>24</v>
      </c>
    </row>
    <row r="14" spans="1:3" x14ac:dyDescent="0.25">
      <c r="B14" t="s">
        <v>29</v>
      </c>
    </row>
    <row r="16" spans="1:3" x14ac:dyDescent="0.25">
      <c r="A16" s="3" t="s">
        <v>25</v>
      </c>
    </row>
    <row r="18" spans="2:2" x14ac:dyDescent="0.25">
      <c r="B18" t="s">
        <v>26</v>
      </c>
    </row>
    <row r="19" spans="2:2" x14ac:dyDescent="0.25">
      <c r="B19" t="s">
        <v>27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F666-AA46-4CA0-A320-EFB1C9E3767D}">
  <dimension ref="A1:M108"/>
  <sheetViews>
    <sheetView tabSelected="1" topLeftCell="D1" workbookViewId="0">
      <pane ySplit="1692" topLeftCell="A95"/>
      <selection activeCell="I4" sqref="I4"/>
      <selection pane="bottomLeft" activeCell="M104" sqref="M104"/>
    </sheetView>
  </sheetViews>
  <sheetFormatPr defaultRowHeight="13.2" x14ac:dyDescent="0.25"/>
  <cols>
    <col min="1" max="1" width="5.6640625" customWidth="1"/>
    <col min="2" max="2" width="6.6640625" customWidth="1"/>
    <col min="3" max="3" width="8.88671875" customWidth="1"/>
    <col min="4" max="4" width="7.44140625" customWidth="1"/>
    <col min="6" max="6" width="6.44140625" customWidth="1"/>
    <col min="8" max="8" width="10" customWidth="1"/>
  </cols>
  <sheetData>
    <row r="1" spans="1:11" s="1" customFormat="1" ht="30.6" x14ac:dyDescent="0.2">
      <c r="A1" s="1" t="s">
        <v>0</v>
      </c>
      <c r="B1" s="1" t="s">
        <v>11</v>
      </c>
      <c r="C1" s="1" t="s">
        <v>12</v>
      </c>
      <c r="D1" s="1" t="s">
        <v>0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3" spans="1:11" x14ac:dyDescent="0.25">
      <c r="A3">
        <v>-0.30023215913388412</v>
      </c>
      <c r="B3">
        <f>A3*A3</f>
        <v>9.0139349378193914E-2</v>
      </c>
      <c r="C3">
        <v>4</v>
      </c>
      <c r="D3">
        <v>-0.82209453466930427</v>
      </c>
      <c r="E3">
        <f>D3*D3</f>
        <v>0.67583942393313989</v>
      </c>
      <c r="F3">
        <v>4</v>
      </c>
      <c r="H3">
        <f>B3+G3</f>
        <v>9.0139349378193914E-2</v>
      </c>
      <c r="I3">
        <v>7</v>
      </c>
      <c r="J3">
        <f>IF(H3&gt;$I$3,1,0)</f>
        <v>0</v>
      </c>
      <c r="K3">
        <f>IF(AND((H3&gt;$I$3),(G3&lt;&gt;0)),1,0)</f>
        <v>0</v>
      </c>
    </row>
    <row r="4" spans="1:11" x14ac:dyDescent="0.25">
      <c r="A4">
        <v>-1.2776831681549083</v>
      </c>
      <c r="B4">
        <f t="shared" ref="B4:B67" si="0">A4*A4</f>
        <v>1.6324742781863637</v>
      </c>
      <c r="C4">
        <v>10</v>
      </c>
      <c r="D4">
        <v>3.9138967622420751E-2</v>
      </c>
      <c r="E4">
        <f t="shared" ref="E4:E12" si="1">D4*D4</f>
        <v>1.5318587865488999E-3</v>
      </c>
      <c r="H4">
        <f t="shared" ref="H4:H67" si="2">B4+G4</f>
        <v>1.6324742781863637</v>
      </c>
      <c r="J4">
        <f t="shared" ref="J4:J67" si="3">IF(H4&gt;$I$3,1,0)</f>
        <v>0</v>
      </c>
      <c r="K4">
        <f>IF(AND((H4&gt;$I$3),(G4&lt;&gt;0)),1,0)</f>
        <v>0</v>
      </c>
    </row>
    <row r="5" spans="1:11" x14ac:dyDescent="0.25">
      <c r="A5">
        <v>0.24425730771326926</v>
      </c>
      <c r="B5">
        <f t="shared" si="0"/>
        <v>5.9661632371334705E-2</v>
      </c>
      <c r="C5">
        <v>8</v>
      </c>
      <c r="D5">
        <v>0.61429773268173449</v>
      </c>
      <c r="E5">
        <f t="shared" si="1"/>
        <v>0.37736170437791972</v>
      </c>
      <c r="H5">
        <f t="shared" si="2"/>
        <v>5.9661632371334705E-2</v>
      </c>
      <c r="J5">
        <f t="shared" si="3"/>
        <v>0</v>
      </c>
      <c r="K5">
        <f>IF(AND((H5&gt;$I$3),(G5&lt;&gt;0)),1,0)</f>
        <v>0</v>
      </c>
    </row>
    <row r="6" spans="1:11" x14ac:dyDescent="0.25">
      <c r="A6">
        <v>1.2764735402015503</v>
      </c>
      <c r="B6">
        <f t="shared" si="0"/>
        <v>1.629384698834679</v>
      </c>
      <c r="C6">
        <v>5</v>
      </c>
      <c r="D6">
        <v>-0.65784774960775394</v>
      </c>
      <c r="E6">
        <f t="shared" si="1"/>
        <v>0.43276366166398611</v>
      </c>
      <c r="G6">
        <f>$F$3*$E$3</f>
        <v>2.7033576957325596</v>
      </c>
      <c r="H6">
        <f t="shared" si="2"/>
        <v>4.332742394567239</v>
      </c>
      <c r="J6">
        <f t="shared" si="3"/>
        <v>0</v>
      </c>
      <c r="K6">
        <f>IF(AND((H6&gt;$I$3),(G6&lt;&gt;0)),1,0)</f>
        <v>0</v>
      </c>
    </row>
    <row r="7" spans="1:11" x14ac:dyDescent="0.25">
      <c r="A7">
        <v>1.1983502190560102</v>
      </c>
      <c r="B7">
        <f t="shared" si="0"/>
        <v>1.4360432475115879</v>
      </c>
      <c r="C7">
        <v>16</v>
      </c>
      <c r="D7">
        <v>1.0687881513149478</v>
      </c>
      <c r="E7">
        <f t="shared" si="1"/>
        <v>1.1423081123912238</v>
      </c>
      <c r="H7">
        <f t="shared" si="2"/>
        <v>1.4360432475115879</v>
      </c>
      <c r="J7">
        <f t="shared" si="3"/>
        <v>0</v>
      </c>
      <c r="K7">
        <f t="shared" ref="K7:K70" si="4">IF(AND((H7&gt;$I$3),(G7&lt;&gt;0)),1,0)</f>
        <v>0</v>
      </c>
    </row>
    <row r="8" spans="1:11" x14ac:dyDescent="0.25">
      <c r="A8">
        <v>1.7331331036984921</v>
      </c>
      <c r="B8">
        <f t="shared" si="0"/>
        <v>3.0037503551355682</v>
      </c>
      <c r="C8">
        <v>10</v>
      </c>
      <c r="D8">
        <v>1.8295031622983515</v>
      </c>
      <c r="E8">
        <f t="shared" si="1"/>
        <v>3.3470818208596684</v>
      </c>
      <c r="H8">
        <f t="shared" si="2"/>
        <v>3.0037503551355682</v>
      </c>
      <c r="J8">
        <f t="shared" si="3"/>
        <v>0</v>
      </c>
      <c r="K8">
        <f t="shared" si="4"/>
        <v>0</v>
      </c>
    </row>
    <row r="9" spans="1:11" x14ac:dyDescent="0.25">
      <c r="A9">
        <v>-2.1835876395925879</v>
      </c>
      <c r="B9">
        <f t="shared" si="0"/>
        <v>4.7680549797815299</v>
      </c>
      <c r="C9">
        <v>9</v>
      </c>
      <c r="D9">
        <v>-1.5576006262563169</v>
      </c>
      <c r="E9">
        <f t="shared" si="1"/>
        <v>2.4261197109140706</v>
      </c>
      <c r="H9">
        <f t="shared" si="2"/>
        <v>4.7680549797815299</v>
      </c>
      <c r="J9">
        <f t="shared" si="3"/>
        <v>0</v>
      </c>
      <c r="K9">
        <f t="shared" si="4"/>
        <v>0</v>
      </c>
    </row>
    <row r="10" spans="1:11" x14ac:dyDescent="0.25">
      <c r="A10">
        <v>-0.23418124328600243</v>
      </c>
      <c r="B10">
        <f t="shared" si="0"/>
        <v>5.484085470697786E-2</v>
      </c>
      <c r="C10">
        <v>13</v>
      </c>
      <c r="D10">
        <v>1.0569843905395799</v>
      </c>
      <c r="E10">
        <f t="shared" si="1"/>
        <v>1.1172160018443271</v>
      </c>
      <c r="H10">
        <f t="shared" si="2"/>
        <v>5.484085470697786E-2</v>
      </c>
      <c r="J10">
        <f t="shared" si="3"/>
        <v>0</v>
      </c>
      <c r="K10">
        <f t="shared" si="4"/>
        <v>0</v>
      </c>
    </row>
    <row r="11" spans="1:11" x14ac:dyDescent="0.25">
      <c r="A11">
        <v>1.0950225259875879</v>
      </c>
      <c r="B11">
        <f t="shared" si="0"/>
        <v>1.1990743324202375</v>
      </c>
      <c r="C11">
        <v>7</v>
      </c>
      <c r="D11">
        <v>-0.26932184482575394</v>
      </c>
      <c r="E11">
        <f t="shared" si="1"/>
        <v>7.2534256100347486E-2</v>
      </c>
      <c r="H11">
        <f t="shared" si="2"/>
        <v>1.1990743324202375</v>
      </c>
      <c r="J11">
        <f t="shared" si="3"/>
        <v>0</v>
      </c>
      <c r="K11">
        <f t="shared" si="4"/>
        <v>0</v>
      </c>
    </row>
    <row r="12" spans="1:11" x14ac:dyDescent="0.25">
      <c r="A12">
        <v>-1.0867006494663656</v>
      </c>
      <c r="B12">
        <f t="shared" si="0"/>
        <v>1.1809183015506208</v>
      </c>
      <c r="C12">
        <v>3</v>
      </c>
      <c r="D12">
        <v>-1.8736682250164449</v>
      </c>
      <c r="E12">
        <f t="shared" si="1"/>
        <v>3.5106326174362752</v>
      </c>
      <c r="H12">
        <f t="shared" si="2"/>
        <v>1.1809183015506208</v>
      </c>
      <c r="J12">
        <f t="shared" si="3"/>
        <v>0</v>
      </c>
      <c r="K12">
        <f t="shared" si="4"/>
        <v>0</v>
      </c>
    </row>
    <row r="13" spans="1:11" x14ac:dyDescent="0.25">
      <c r="A13">
        <v>-0.69020416049170308</v>
      </c>
      <c r="B13">
        <f t="shared" si="0"/>
        <v>0.47638178316005664</v>
      </c>
      <c r="H13">
        <f t="shared" si="2"/>
        <v>0.47638178316005664</v>
      </c>
      <c r="J13">
        <f t="shared" si="3"/>
        <v>0</v>
      </c>
      <c r="K13">
        <f t="shared" si="4"/>
        <v>0</v>
      </c>
    </row>
    <row r="14" spans="1:11" x14ac:dyDescent="0.25">
      <c r="A14">
        <v>-1.6904323274502531</v>
      </c>
      <c r="B14">
        <f t="shared" si="0"/>
        <v>2.8575614536888798</v>
      </c>
      <c r="C14">
        <f>SUM(C3:C12)</f>
        <v>85</v>
      </c>
      <c r="E14">
        <f>SUM(E3:E12)/10</f>
        <v>1.3103389168307507</v>
      </c>
      <c r="H14">
        <f t="shared" si="2"/>
        <v>2.8575614536888798</v>
      </c>
      <c r="J14">
        <f t="shared" si="3"/>
        <v>0</v>
      </c>
      <c r="K14">
        <f t="shared" si="4"/>
        <v>0</v>
      </c>
    </row>
    <row r="15" spans="1:11" x14ac:dyDescent="0.25">
      <c r="A15">
        <v>-1.8469108908902854</v>
      </c>
      <c r="B15">
        <f t="shared" si="0"/>
        <v>3.4110798388891475</v>
      </c>
      <c r="H15">
        <f t="shared" si="2"/>
        <v>3.4110798388891475</v>
      </c>
      <c r="J15">
        <f t="shared" si="3"/>
        <v>0</v>
      </c>
      <c r="K15">
        <f t="shared" si="4"/>
        <v>0</v>
      </c>
    </row>
    <row r="16" spans="1:11" x14ac:dyDescent="0.25">
      <c r="A16">
        <v>-0.97762949735624716</v>
      </c>
      <c r="B16">
        <f t="shared" si="0"/>
        <v>0.95575943410102848</v>
      </c>
      <c r="G16">
        <f>$F$3*$E$4</f>
        <v>6.1274351461955995E-3</v>
      </c>
      <c r="H16">
        <f t="shared" si="2"/>
        <v>0.96188686924722411</v>
      </c>
      <c r="J16">
        <f t="shared" si="3"/>
        <v>0</v>
      </c>
      <c r="K16">
        <f t="shared" si="4"/>
        <v>0</v>
      </c>
    </row>
    <row r="17" spans="1:11" x14ac:dyDescent="0.25">
      <c r="A17">
        <v>-0.77350705396384001</v>
      </c>
      <c r="B17">
        <f t="shared" si="0"/>
        <v>0.59831316253181888</v>
      </c>
      <c r="H17">
        <f t="shared" si="2"/>
        <v>0.59831316253181888</v>
      </c>
      <c r="J17">
        <f t="shared" si="3"/>
        <v>0</v>
      </c>
      <c r="K17">
        <f t="shared" si="4"/>
        <v>0</v>
      </c>
    </row>
    <row r="18" spans="1:11" x14ac:dyDescent="0.25">
      <c r="A18">
        <v>-2.1179312170716003</v>
      </c>
      <c r="B18">
        <f t="shared" si="0"/>
        <v>4.48563264024639</v>
      </c>
      <c r="H18">
        <f t="shared" si="2"/>
        <v>4.48563264024639</v>
      </c>
      <c r="J18">
        <f t="shared" si="3"/>
        <v>0</v>
      </c>
      <c r="K18">
        <f t="shared" si="4"/>
        <v>0</v>
      </c>
    </row>
    <row r="19" spans="1:11" x14ac:dyDescent="0.25">
      <c r="A19">
        <v>-0.56792487157508731</v>
      </c>
      <c r="B19">
        <f t="shared" si="0"/>
        <v>0.32253865975357943</v>
      </c>
      <c r="H19">
        <f t="shared" si="2"/>
        <v>0.32253865975357943</v>
      </c>
      <c r="J19">
        <f t="shared" si="3"/>
        <v>0</v>
      </c>
      <c r="K19">
        <f t="shared" si="4"/>
        <v>0</v>
      </c>
    </row>
    <row r="20" spans="1:11" x14ac:dyDescent="0.25">
      <c r="A20">
        <v>-0.40404756873613223</v>
      </c>
      <c r="B20">
        <f t="shared" si="0"/>
        <v>0.1632544378015795</v>
      </c>
      <c r="H20">
        <f t="shared" si="2"/>
        <v>0.1632544378015795</v>
      </c>
      <c r="J20">
        <f t="shared" si="3"/>
        <v>0</v>
      </c>
      <c r="K20">
        <f t="shared" si="4"/>
        <v>0</v>
      </c>
    </row>
    <row r="21" spans="1:11" x14ac:dyDescent="0.25">
      <c r="A21">
        <v>0.1348530531686265</v>
      </c>
      <c r="B21">
        <f t="shared" si="0"/>
        <v>1.8185345948900405E-2</v>
      </c>
      <c r="H21">
        <f t="shared" si="2"/>
        <v>1.8185345948900405E-2</v>
      </c>
      <c r="J21">
        <f t="shared" si="3"/>
        <v>0</v>
      </c>
      <c r="K21">
        <f t="shared" si="4"/>
        <v>0</v>
      </c>
    </row>
    <row r="22" spans="1:11" x14ac:dyDescent="0.25">
      <c r="A22">
        <v>-0.36549295145960059</v>
      </c>
      <c r="B22">
        <f t="shared" si="0"/>
        <v>0.13358509756664996</v>
      </c>
      <c r="H22">
        <f t="shared" si="2"/>
        <v>0.13358509756664996</v>
      </c>
      <c r="J22">
        <f t="shared" si="3"/>
        <v>0</v>
      </c>
      <c r="K22">
        <f t="shared" si="4"/>
        <v>0</v>
      </c>
    </row>
    <row r="23" spans="1:11" x14ac:dyDescent="0.25">
      <c r="A23">
        <v>-0.32699063012842089</v>
      </c>
      <c r="B23">
        <f t="shared" si="0"/>
        <v>0.10692287219178176</v>
      </c>
      <c r="H23">
        <f t="shared" si="2"/>
        <v>0.10692287219178176</v>
      </c>
      <c r="J23">
        <f t="shared" si="3"/>
        <v>0</v>
      </c>
      <c r="K23">
        <f t="shared" si="4"/>
        <v>0</v>
      </c>
    </row>
    <row r="24" spans="1:11" x14ac:dyDescent="0.25">
      <c r="A24">
        <v>-0.37024051380285528</v>
      </c>
      <c r="B24">
        <f t="shared" si="0"/>
        <v>0.13707803806100227</v>
      </c>
      <c r="G24">
        <f>$F$3*$E$5</f>
        <v>1.5094468175116789</v>
      </c>
      <c r="H24">
        <f t="shared" si="2"/>
        <v>1.646524855572681</v>
      </c>
      <c r="J24">
        <f t="shared" si="3"/>
        <v>0</v>
      </c>
      <c r="K24">
        <f t="shared" si="4"/>
        <v>0</v>
      </c>
    </row>
    <row r="25" spans="1:11" x14ac:dyDescent="0.25">
      <c r="A25">
        <v>1.3426415534922853</v>
      </c>
      <c r="B25">
        <f t="shared" si="0"/>
        <v>1.8026863411641771</v>
      </c>
      <c r="H25">
        <f t="shared" si="2"/>
        <v>1.8026863411641771</v>
      </c>
      <c r="J25">
        <f t="shared" si="3"/>
        <v>0</v>
      </c>
      <c r="K25">
        <f t="shared" si="4"/>
        <v>0</v>
      </c>
    </row>
    <row r="26" spans="1:11" x14ac:dyDescent="0.25">
      <c r="A26">
        <v>-8.5284455053624697E-2</v>
      </c>
      <c r="B26">
        <f t="shared" si="0"/>
        <v>7.2734382737937309E-3</v>
      </c>
      <c r="H26">
        <f t="shared" si="2"/>
        <v>7.2734382737937309E-3</v>
      </c>
      <c r="J26">
        <f t="shared" si="3"/>
        <v>0</v>
      </c>
      <c r="K26">
        <f t="shared" si="4"/>
        <v>0</v>
      </c>
    </row>
    <row r="27" spans="1:11" x14ac:dyDescent="0.25">
      <c r="A27">
        <v>-0.18615764929563738</v>
      </c>
      <c r="B27">
        <f t="shared" si="0"/>
        <v>3.4654670391277523E-2</v>
      </c>
      <c r="H27">
        <f t="shared" si="2"/>
        <v>3.4654670391277523E-2</v>
      </c>
      <c r="J27">
        <f t="shared" si="3"/>
        <v>0</v>
      </c>
      <c r="K27">
        <f t="shared" si="4"/>
        <v>0</v>
      </c>
    </row>
    <row r="28" spans="1:11" x14ac:dyDescent="0.25">
      <c r="A28">
        <v>-0.51320739657967351</v>
      </c>
      <c r="B28">
        <f t="shared" si="0"/>
        <v>0.26338183190408626</v>
      </c>
      <c r="H28">
        <f t="shared" si="2"/>
        <v>0.26338183190408626</v>
      </c>
      <c r="J28">
        <f t="shared" si="3"/>
        <v>0</v>
      </c>
      <c r="K28">
        <f t="shared" si="4"/>
        <v>0</v>
      </c>
    </row>
    <row r="29" spans="1:11" x14ac:dyDescent="0.25">
      <c r="A29">
        <v>1.9722119759535417</v>
      </c>
      <c r="B29">
        <f t="shared" si="0"/>
        <v>3.8896200780945733</v>
      </c>
      <c r="G29">
        <f>$F$3*$E$6</f>
        <v>1.7310546466559444</v>
      </c>
      <c r="H29">
        <f t="shared" si="2"/>
        <v>5.6206747247505175</v>
      </c>
      <c r="J29">
        <f t="shared" si="3"/>
        <v>0</v>
      </c>
      <c r="K29">
        <f t="shared" si="4"/>
        <v>0</v>
      </c>
    </row>
    <row r="30" spans="1:11" x14ac:dyDescent="0.25">
      <c r="A30">
        <v>0.86567297330475412</v>
      </c>
      <c r="B30">
        <f t="shared" si="0"/>
        <v>0.74938969671029354</v>
      </c>
      <c r="H30">
        <f t="shared" si="2"/>
        <v>0.74938969671029354</v>
      </c>
      <c r="J30">
        <f t="shared" si="3"/>
        <v>0</v>
      </c>
      <c r="K30">
        <f t="shared" si="4"/>
        <v>0</v>
      </c>
    </row>
    <row r="31" spans="1:11" x14ac:dyDescent="0.25">
      <c r="A31">
        <v>2.3756547307129949</v>
      </c>
      <c r="B31">
        <f t="shared" si="0"/>
        <v>5.6437353995590325</v>
      </c>
      <c r="H31">
        <f t="shared" si="2"/>
        <v>5.6437353995590325</v>
      </c>
      <c r="J31">
        <f t="shared" si="3"/>
        <v>0</v>
      </c>
      <c r="K31">
        <f t="shared" si="4"/>
        <v>0</v>
      </c>
    </row>
    <row r="32" spans="1:11" x14ac:dyDescent="0.25">
      <c r="A32">
        <v>-0.65490667111589573</v>
      </c>
      <c r="B32">
        <f t="shared" si="0"/>
        <v>0.42890274787210403</v>
      </c>
      <c r="H32">
        <f t="shared" si="2"/>
        <v>0.42890274787210403</v>
      </c>
      <c r="J32">
        <f t="shared" si="3"/>
        <v>0</v>
      </c>
      <c r="K32">
        <f t="shared" si="4"/>
        <v>0</v>
      </c>
    </row>
    <row r="33" spans="1:11" x14ac:dyDescent="0.25">
      <c r="A33">
        <v>1.6614558262517676</v>
      </c>
      <c r="B33">
        <f t="shared" si="0"/>
        <v>2.7604354625859435</v>
      </c>
      <c r="H33">
        <f t="shared" si="2"/>
        <v>2.7604354625859435</v>
      </c>
      <c r="J33">
        <f t="shared" si="3"/>
        <v>0</v>
      </c>
      <c r="K33">
        <f t="shared" si="4"/>
        <v>0</v>
      </c>
    </row>
    <row r="34" spans="1:11" x14ac:dyDescent="0.25">
      <c r="A34">
        <v>-1.6123976820381358</v>
      </c>
      <c r="B34">
        <f t="shared" si="0"/>
        <v>2.5998262850419533</v>
      </c>
      <c r="H34">
        <f t="shared" si="2"/>
        <v>2.5998262850419533</v>
      </c>
      <c r="J34">
        <f t="shared" si="3"/>
        <v>0</v>
      </c>
      <c r="K34">
        <f t="shared" si="4"/>
        <v>0</v>
      </c>
    </row>
    <row r="35" spans="1:11" x14ac:dyDescent="0.25">
      <c r="A35">
        <v>0.53894837037660182</v>
      </c>
      <c r="B35">
        <f t="shared" si="0"/>
        <v>0.29046534593159479</v>
      </c>
      <c r="H35">
        <f t="shared" si="2"/>
        <v>0.29046534593159479</v>
      </c>
      <c r="J35">
        <f t="shared" si="3"/>
        <v>0</v>
      </c>
      <c r="K35">
        <f t="shared" si="4"/>
        <v>0</v>
      </c>
    </row>
    <row r="36" spans="1:11" x14ac:dyDescent="0.25">
      <c r="A36">
        <v>0.90219145931769162</v>
      </c>
      <c r="B36">
        <f t="shared" si="0"/>
        <v>0.81394942926578606</v>
      </c>
      <c r="H36">
        <f t="shared" si="2"/>
        <v>0.81394942926578606</v>
      </c>
      <c r="J36">
        <f t="shared" si="3"/>
        <v>0</v>
      </c>
      <c r="K36">
        <f t="shared" si="4"/>
        <v>0</v>
      </c>
    </row>
    <row r="37" spans="1:11" x14ac:dyDescent="0.25">
      <c r="A37">
        <v>1.9189155864296481</v>
      </c>
      <c r="B37">
        <f t="shared" si="0"/>
        <v>3.6822370278426404</v>
      </c>
      <c r="H37">
        <f t="shared" si="2"/>
        <v>3.6822370278426404</v>
      </c>
      <c r="J37">
        <f t="shared" si="3"/>
        <v>0</v>
      </c>
      <c r="K37">
        <f t="shared" si="4"/>
        <v>0</v>
      </c>
    </row>
    <row r="38" spans="1:11" x14ac:dyDescent="0.25">
      <c r="A38">
        <v>-8.4517068899003789E-2</v>
      </c>
      <c r="B38">
        <f t="shared" si="0"/>
        <v>7.1431349352789539E-3</v>
      </c>
      <c r="H38">
        <f t="shared" si="2"/>
        <v>7.1431349352789539E-3</v>
      </c>
      <c r="J38">
        <f t="shared" si="3"/>
        <v>0</v>
      </c>
      <c r="K38">
        <f t="shared" si="4"/>
        <v>0</v>
      </c>
    </row>
    <row r="39" spans="1:11" x14ac:dyDescent="0.25">
      <c r="A39">
        <v>-0.52379505177668761</v>
      </c>
      <c r="B39">
        <f t="shared" si="0"/>
        <v>0.27436125626574287</v>
      </c>
      <c r="H39">
        <f t="shared" si="2"/>
        <v>0.27436125626574287</v>
      </c>
      <c r="J39">
        <f t="shared" si="3"/>
        <v>0</v>
      </c>
      <c r="K39">
        <f t="shared" si="4"/>
        <v>0</v>
      </c>
    </row>
    <row r="40" spans="1:11" x14ac:dyDescent="0.25">
      <c r="A40">
        <v>0.67513838075683452</v>
      </c>
      <c r="B40">
        <f t="shared" si="0"/>
        <v>0.45581183317096047</v>
      </c>
      <c r="H40">
        <f t="shared" si="2"/>
        <v>0.45581183317096047</v>
      </c>
      <c r="J40">
        <f t="shared" si="3"/>
        <v>0</v>
      </c>
      <c r="K40">
        <f t="shared" si="4"/>
        <v>0</v>
      </c>
    </row>
    <row r="41" spans="1:11" x14ac:dyDescent="0.25">
      <c r="A41">
        <v>-0.38132384361233562</v>
      </c>
      <c r="B41">
        <f t="shared" si="0"/>
        <v>0.145407873707285</v>
      </c>
      <c r="H41">
        <f t="shared" si="2"/>
        <v>0.145407873707285</v>
      </c>
      <c r="J41">
        <f t="shared" si="3"/>
        <v>0</v>
      </c>
      <c r="K41">
        <f t="shared" si="4"/>
        <v>0</v>
      </c>
    </row>
    <row r="42" spans="1:11" x14ac:dyDescent="0.25">
      <c r="A42">
        <v>0.75761136031360365</v>
      </c>
      <c r="B42">
        <f t="shared" si="0"/>
        <v>0.57397497327622893</v>
      </c>
      <c r="H42">
        <f t="shared" si="2"/>
        <v>0.57397497327622893</v>
      </c>
      <c r="J42">
        <f t="shared" si="3"/>
        <v>0</v>
      </c>
      <c r="K42">
        <f t="shared" si="4"/>
        <v>0</v>
      </c>
    </row>
    <row r="43" spans="1:11" x14ac:dyDescent="0.25">
      <c r="A43">
        <v>-1.4441866369452327</v>
      </c>
      <c r="B43">
        <f t="shared" si="0"/>
        <v>2.0856750423311814</v>
      </c>
      <c r="H43">
        <f t="shared" si="2"/>
        <v>2.0856750423311814</v>
      </c>
      <c r="J43">
        <f t="shared" si="3"/>
        <v>0</v>
      </c>
      <c r="K43">
        <f t="shared" si="4"/>
        <v>0</v>
      </c>
    </row>
    <row r="44" spans="1:11" x14ac:dyDescent="0.25">
      <c r="A44">
        <v>-0.84723751569981687</v>
      </c>
      <c r="B44">
        <f t="shared" si="0"/>
        <v>0.7178114080091974</v>
      </c>
      <c r="H44">
        <f t="shared" si="2"/>
        <v>0.7178114080091974</v>
      </c>
      <c r="J44">
        <f t="shared" si="3"/>
        <v>0</v>
      </c>
      <c r="K44">
        <f t="shared" si="4"/>
        <v>0</v>
      </c>
    </row>
    <row r="45" spans="1:11" x14ac:dyDescent="0.25">
      <c r="A45">
        <v>-1.5215709936455823</v>
      </c>
      <c r="B45">
        <f t="shared" si="0"/>
        <v>2.315178288703605</v>
      </c>
      <c r="G45">
        <f>$F$3*$E$7</f>
        <v>4.569232449564895</v>
      </c>
      <c r="H45">
        <f t="shared" si="2"/>
        <v>6.8844107382684996</v>
      </c>
      <c r="J45">
        <f t="shared" si="3"/>
        <v>0</v>
      </c>
      <c r="K45">
        <f t="shared" si="4"/>
        <v>0</v>
      </c>
    </row>
    <row r="46" spans="1:11" x14ac:dyDescent="0.25">
      <c r="A46">
        <v>-0.36287701732362621</v>
      </c>
      <c r="B46">
        <f t="shared" si="0"/>
        <v>0.13167972970169131</v>
      </c>
      <c r="H46">
        <f t="shared" si="2"/>
        <v>0.13167972970169131</v>
      </c>
      <c r="J46">
        <f t="shared" si="3"/>
        <v>0</v>
      </c>
      <c r="K46">
        <f t="shared" si="4"/>
        <v>0</v>
      </c>
    </row>
    <row r="47" spans="1:11" x14ac:dyDescent="0.25">
      <c r="A47">
        <v>-3.2479192668688484E-2</v>
      </c>
      <c r="B47">
        <f t="shared" si="0"/>
        <v>1.0548979564097877E-3</v>
      </c>
      <c r="H47">
        <f t="shared" si="2"/>
        <v>1.0548979564097877E-3</v>
      </c>
      <c r="J47">
        <f t="shared" si="3"/>
        <v>0</v>
      </c>
      <c r="K47">
        <f t="shared" si="4"/>
        <v>0</v>
      </c>
    </row>
    <row r="48" spans="1:11" x14ac:dyDescent="0.25">
      <c r="A48">
        <v>2.8117028705310076E-2</v>
      </c>
      <c r="B48">
        <f t="shared" si="0"/>
        <v>7.9056730321523086E-4</v>
      </c>
      <c r="H48">
        <f t="shared" si="2"/>
        <v>7.9056730321523086E-4</v>
      </c>
      <c r="J48">
        <f t="shared" si="3"/>
        <v>0</v>
      </c>
      <c r="K48">
        <f t="shared" si="4"/>
        <v>0</v>
      </c>
    </row>
    <row r="49" spans="1:11" x14ac:dyDescent="0.25">
      <c r="A49">
        <v>-0.32271600503008813</v>
      </c>
      <c r="B49">
        <f t="shared" si="0"/>
        <v>0.10414561990257987</v>
      </c>
      <c r="H49">
        <f t="shared" si="2"/>
        <v>0.10414561990257987</v>
      </c>
      <c r="J49">
        <f t="shared" si="3"/>
        <v>0</v>
      </c>
      <c r="K49">
        <f t="shared" si="4"/>
        <v>0</v>
      </c>
    </row>
    <row r="50" spans="1:11" x14ac:dyDescent="0.25">
      <c r="A50">
        <v>2.1945015760138631</v>
      </c>
      <c r="B50">
        <f t="shared" si="0"/>
        <v>4.815837167127329</v>
      </c>
      <c r="H50">
        <f t="shared" si="2"/>
        <v>4.815837167127329</v>
      </c>
      <c r="J50">
        <f t="shared" si="3"/>
        <v>0</v>
      </c>
      <c r="K50">
        <f t="shared" si="4"/>
        <v>0</v>
      </c>
    </row>
    <row r="51" spans="1:11" x14ac:dyDescent="0.25">
      <c r="A51">
        <v>-1.7424827092327178</v>
      </c>
      <c r="B51">
        <f t="shared" si="0"/>
        <v>3.036245991974992</v>
      </c>
      <c r="H51">
        <f t="shared" si="2"/>
        <v>3.036245991974992</v>
      </c>
      <c r="J51">
        <f t="shared" si="3"/>
        <v>0</v>
      </c>
      <c r="K51">
        <f t="shared" si="4"/>
        <v>0</v>
      </c>
    </row>
    <row r="52" spans="1:11" x14ac:dyDescent="0.25">
      <c r="A52">
        <v>-0.73647697718115523</v>
      </c>
      <c r="B52">
        <f t="shared" si="0"/>
        <v>0.54239833791789183</v>
      </c>
      <c r="H52">
        <f t="shared" si="2"/>
        <v>0.54239833791789183</v>
      </c>
      <c r="J52">
        <f t="shared" si="3"/>
        <v>0</v>
      </c>
      <c r="K52">
        <f t="shared" si="4"/>
        <v>0</v>
      </c>
    </row>
    <row r="53" spans="1:11" x14ac:dyDescent="0.25">
      <c r="A53">
        <v>-2.5775807444006205</v>
      </c>
      <c r="B53">
        <f t="shared" si="0"/>
        <v>6.6439224939048565</v>
      </c>
      <c r="H53">
        <f t="shared" si="2"/>
        <v>6.6439224939048565</v>
      </c>
      <c r="J53">
        <f t="shared" si="3"/>
        <v>0</v>
      </c>
      <c r="K53">
        <f t="shared" si="4"/>
        <v>0</v>
      </c>
    </row>
    <row r="54" spans="1:11" x14ac:dyDescent="0.25">
      <c r="A54">
        <v>1.4476700016530231</v>
      </c>
      <c r="B54">
        <f t="shared" si="0"/>
        <v>2.0957484336860639</v>
      </c>
      <c r="H54">
        <f t="shared" si="2"/>
        <v>2.0957484336860639</v>
      </c>
      <c r="J54">
        <f t="shared" si="3"/>
        <v>0</v>
      </c>
      <c r="K54">
        <f t="shared" si="4"/>
        <v>0</v>
      </c>
    </row>
    <row r="55" spans="1:11" x14ac:dyDescent="0.25">
      <c r="A55">
        <v>-1.2797636372852139</v>
      </c>
      <c r="B55">
        <f t="shared" si="0"/>
        <v>1.6377949673174805</v>
      </c>
      <c r="G55">
        <f>$F$3*$E$8</f>
        <v>13.388327283438674</v>
      </c>
      <c r="H55">
        <f t="shared" si="2"/>
        <v>15.026122250756154</v>
      </c>
      <c r="J55">
        <f t="shared" si="3"/>
        <v>1</v>
      </c>
      <c r="K55">
        <f t="shared" si="4"/>
        <v>1</v>
      </c>
    </row>
    <row r="56" spans="1:11" x14ac:dyDescent="0.25">
      <c r="A56">
        <v>-0.65357994571968447</v>
      </c>
      <c r="B56">
        <f t="shared" si="0"/>
        <v>0.42716674544694572</v>
      </c>
      <c r="H56">
        <f t="shared" si="2"/>
        <v>0.42716674544694572</v>
      </c>
      <c r="J56">
        <f t="shared" si="3"/>
        <v>0</v>
      </c>
      <c r="K56">
        <f t="shared" si="4"/>
        <v>0</v>
      </c>
    </row>
    <row r="57" spans="1:11" x14ac:dyDescent="0.25">
      <c r="A57">
        <v>0.75771367846755311</v>
      </c>
      <c r="B57">
        <f t="shared" si="0"/>
        <v>0.57413001853683043</v>
      </c>
      <c r="H57">
        <f t="shared" si="2"/>
        <v>0.57413001853683043</v>
      </c>
      <c r="J57">
        <f t="shared" si="3"/>
        <v>0</v>
      </c>
      <c r="K57">
        <f t="shared" si="4"/>
        <v>0</v>
      </c>
    </row>
    <row r="58" spans="1:11" x14ac:dyDescent="0.25">
      <c r="A58">
        <v>0.46671175368828699</v>
      </c>
      <c r="B58">
        <f t="shared" si="0"/>
        <v>0.21781986103079626</v>
      </c>
      <c r="H58">
        <f t="shared" si="2"/>
        <v>0.21781986103079626</v>
      </c>
      <c r="J58">
        <f t="shared" si="3"/>
        <v>0</v>
      </c>
      <c r="K58">
        <f t="shared" si="4"/>
        <v>0</v>
      </c>
    </row>
    <row r="59" spans="1:11" x14ac:dyDescent="0.25">
      <c r="A59">
        <v>0.87460875874967314</v>
      </c>
      <c r="B59">
        <f t="shared" si="0"/>
        <v>0.7649404808816439</v>
      </c>
      <c r="H59">
        <f t="shared" si="2"/>
        <v>0.7649404808816439</v>
      </c>
      <c r="J59">
        <f t="shared" si="3"/>
        <v>0</v>
      </c>
      <c r="K59">
        <f t="shared" si="4"/>
        <v>0</v>
      </c>
    </row>
    <row r="60" spans="1:11" x14ac:dyDescent="0.25">
      <c r="A60">
        <v>0.59574176702881232</v>
      </c>
      <c r="B60">
        <f t="shared" si="0"/>
        <v>0.35490825298261169</v>
      </c>
      <c r="H60">
        <f t="shared" si="2"/>
        <v>0.35490825298261169</v>
      </c>
      <c r="J60">
        <f t="shared" si="3"/>
        <v>0</v>
      </c>
      <c r="K60">
        <f t="shared" si="4"/>
        <v>0</v>
      </c>
    </row>
    <row r="61" spans="1:11" x14ac:dyDescent="0.25">
      <c r="A61">
        <v>-1.3718499758397229</v>
      </c>
      <c r="B61">
        <f t="shared" si="0"/>
        <v>1.8819723562114483</v>
      </c>
      <c r="H61">
        <f t="shared" si="2"/>
        <v>1.8819723562114483</v>
      </c>
      <c r="J61">
        <f t="shared" si="3"/>
        <v>0</v>
      </c>
      <c r="K61">
        <f t="shared" si="4"/>
        <v>0</v>
      </c>
    </row>
    <row r="62" spans="1:11" x14ac:dyDescent="0.25">
      <c r="A62">
        <v>-1.1157385415572207</v>
      </c>
      <c r="B62">
        <f t="shared" si="0"/>
        <v>1.244872493116234</v>
      </c>
      <c r="H62">
        <f t="shared" si="2"/>
        <v>1.244872493116234</v>
      </c>
      <c r="J62">
        <f t="shared" si="3"/>
        <v>0</v>
      </c>
      <c r="K62">
        <f t="shared" si="4"/>
        <v>0</v>
      </c>
    </row>
    <row r="63" spans="1:11" x14ac:dyDescent="0.25">
      <c r="A63">
        <v>0.69399447966134176</v>
      </c>
      <c r="B63">
        <f t="shared" si="0"/>
        <v>0.48162833780041647</v>
      </c>
      <c r="H63">
        <f t="shared" si="2"/>
        <v>0.48162833780041647</v>
      </c>
      <c r="J63">
        <f t="shared" si="3"/>
        <v>0</v>
      </c>
      <c r="K63">
        <f t="shared" si="4"/>
        <v>0</v>
      </c>
    </row>
    <row r="64" spans="1:11" x14ac:dyDescent="0.25">
      <c r="A64">
        <v>0.322636424243683</v>
      </c>
      <c r="B64">
        <f t="shared" si="0"/>
        <v>0.10409426224874979</v>
      </c>
      <c r="G64">
        <f>$F$3*$E$9</f>
        <v>9.7044788436562825</v>
      </c>
      <c r="H64">
        <f t="shared" si="2"/>
        <v>9.8085731059050332</v>
      </c>
      <c r="J64">
        <f t="shared" si="3"/>
        <v>1</v>
      </c>
      <c r="K64">
        <f t="shared" si="4"/>
        <v>1</v>
      </c>
    </row>
    <row r="65" spans="1:11" x14ac:dyDescent="0.25">
      <c r="A65">
        <v>-0.93983771876082756</v>
      </c>
      <c r="B65">
        <f t="shared" si="0"/>
        <v>0.88329493760555644</v>
      </c>
      <c r="H65">
        <f t="shared" si="2"/>
        <v>0.88329493760555644</v>
      </c>
      <c r="J65">
        <f t="shared" si="3"/>
        <v>0</v>
      </c>
      <c r="K65">
        <f t="shared" si="4"/>
        <v>0</v>
      </c>
    </row>
    <row r="66" spans="1:11" x14ac:dyDescent="0.25">
      <c r="A66">
        <v>-0.24094788386719301</v>
      </c>
      <c r="B66">
        <f t="shared" si="0"/>
        <v>5.8055882740078328E-2</v>
      </c>
      <c r="H66">
        <f t="shared" si="2"/>
        <v>5.8055882740078328E-2</v>
      </c>
      <c r="J66">
        <f t="shared" si="3"/>
        <v>0</v>
      </c>
      <c r="K66">
        <f t="shared" si="4"/>
        <v>0</v>
      </c>
    </row>
    <row r="67" spans="1:11" x14ac:dyDescent="0.25">
      <c r="A67">
        <v>0.13153567124390975</v>
      </c>
      <c r="B67">
        <f t="shared" si="0"/>
        <v>1.7301632809585906E-2</v>
      </c>
      <c r="H67">
        <f t="shared" si="2"/>
        <v>1.7301632809585906E-2</v>
      </c>
      <c r="J67">
        <f t="shared" si="3"/>
        <v>0</v>
      </c>
      <c r="K67">
        <f t="shared" si="4"/>
        <v>0</v>
      </c>
    </row>
    <row r="68" spans="1:11" x14ac:dyDescent="0.25">
      <c r="A68">
        <v>0.55779764807084575</v>
      </c>
      <c r="B68">
        <f t="shared" ref="B68:B102" si="5">A68*A68</f>
        <v>0.31113821619336707</v>
      </c>
      <c r="H68">
        <f t="shared" ref="H68:H102" si="6">B68+G68</f>
        <v>0.31113821619336707</v>
      </c>
      <c r="J68">
        <f t="shared" ref="J68:J102" si="7">IF(H68&gt;$I$3,1,0)</f>
        <v>0</v>
      </c>
      <c r="K68">
        <f t="shared" si="4"/>
        <v>0</v>
      </c>
    </row>
    <row r="69" spans="1:11" x14ac:dyDescent="0.25">
      <c r="A69">
        <v>0.1387149950460298</v>
      </c>
      <c r="B69">
        <f t="shared" si="5"/>
        <v>1.9241849850620073E-2</v>
      </c>
      <c r="H69">
        <f t="shared" si="6"/>
        <v>1.9241849850620073E-2</v>
      </c>
      <c r="J69">
        <f t="shared" si="7"/>
        <v>0</v>
      </c>
      <c r="K69">
        <f t="shared" si="4"/>
        <v>0</v>
      </c>
    </row>
    <row r="70" spans="1:11" x14ac:dyDescent="0.25">
      <c r="A70">
        <v>-0.91096126197953708</v>
      </c>
      <c r="B70">
        <f t="shared" si="5"/>
        <v>0.82985042082735083</v>
      </c>
      <c r="H70">
        <f t="shared" si="6"/>
        <v>0.82985042082735083</v>
      </c>
      <c r="J70">
        <f t="shared" si="7"/>
        <v>0</v>
      </c>
      <c r="K70">
        <f t="shared" si="4"/>
        <v>0</v>
      </c>
    </row>
    <row r="71" spans="1:11" x14ac:dyDescent="0.25">
      <c r="A71">
        <v>1.8848459149012342</v>
      </c>
      <c r="B71">
        <f t="shared" si="5"/>
        <v>3.5526441229198706</v>
      </c>
      <c r="H71">
        <f t="shared" si="6"/>
        <v>3.5526441229198706</v>
      </c>
      <c r="J71">
        <f t="shared" si="7"/>
        <v>0</v>
      </c>
      <c r="K71">
        <f t="shared" ref="K71:K102" si="8">IF(AND((H71&gt;$I$3),(G71&lt;&gt;0)),1,0)</f>
        <v>0</v>
      </c>
    </row>
    <row r="72" spans="1:11" x14ac:dyDescent="0.25">
      <c r="A72">
        <v>0.4871981218457222</v>
      </c>
      <c r="B72">
        <f t="shared" si="5"/>
        <v>0.23736200992999917</v>
      </c>
      <c r="H72">
        <f t="shared" si="6"/>
        <v>0.23736200992999917</v>
      </c>
      <c r="J72">
        <f t="shared" si="7"/>
        <v>0</v>
      </c>
      <c r="K72">
        <f t="shared" si="8"/>
        <v>0</v>
      </c>
    </row>
    <row r="73" spans="1:11" x14ac:dyDescent="0.25">
      <c r="A73">
        <v>7.2238890425069258E-2</v>
      </c>
      <c r="B73">
        <f t="shared" si="5"/>
        <v>5.2184572898451628E-3</v>
      </c>
      <c r="H73">
        <f t="shared" si="6"/>
        <v>5.2184572898451628E-3</v>
      </c>
      <c r="J73">
        <f t="shared" si="7"/>
        <v>0</v>
      </c>
      <c r="K73">
        <f t="shared" si="8"/>
        <v>0</v>
      </c>
    </row>
    <row r="74" spans="1:11" x14ac:dyDescent="0.25">
      <c r="A74">
        <v>0.82984115579165518</v>
      </c>
      <c r="B74">
        <f t="shared" si="5"/>
        <v>0.68863634384563011</v>
      </c>
      <c r="H74">
        <f t="shared" si="6"/>
        <v>0.68863634384563011</v>
      </c>
      <c r="J74">
        <f t="shared" si="7"/>
        <v>0</v>
      </c>
      <c r="K74">
        <f t="shared" si="8"/>
        <v>0</v>
      </c>
    </row>
    <row r="75" spans="1:11" x14ac:dyDescent="0.25">
      <c r="A75">
        <v>0.86200770965660922</v>
      </c>
      <c r="B75">
        <f t="shared" si="5"/>
        <v>0.74305729150743316</v>
      </c>
      <c r="H75">
        <f t="shared" si="6"/>
        <v>0.74305729150743316</v>
      </c>
      <c r="J75">
        <f t="shared" si="7"/>
        <v>0</v>
      </c>
      <c r="K75">
        <f t="shared" si="8"/>
        <v>0</v>
      </c>
    </row>
    <row r="76" spans="1:11" x14ac:dyDescent="0.25">
      <c r="A76">
        <v>-0.63653146753495093</v>
      </c>
      <c r="B76">
        <f t="shared" si="5"/>
        <v>0.40517230916219832</v>
      </c>
      <c r="H76">
        <f t="shared" si="6"/>
        <v>0.40517230916219832</v>
      </c>
      <c r="J76">
        <f t="shared" si="7"/>
        <v>0</v>
      </c>
      <c r="K76">
        <f t="shared" si="8"/>
        <v>0</v>
      </c>
    </row>
    <row r="77" spans="1:11" x14ac:dyDescent="0.25">
      <c r="A77">
        <v>-0.92319169198162854</v>
      </c>
      <c r="B77">
        <f t="shared" si="5"/>
        <v>0.85228290014390207</v>
      </c>
      <c r="G77">
        <f>$F$3*$E$10</f>
        <v>4.4688640073773085</v>
      </c>
      <c r="H77">
        <f t="shared" si="6"/>
        <v>5.3211469075212108</v>
      </c>
      <c r="J77">
        <f t="shared" si="7"/>
        <v>0</v>
      </c>
      <c r="K77">
        <f t="shared" si="8"/>
        <v>0</v>
      </c>
    </row>
    <row r="78" spans="1:11" x14ac:dyDescent="0.25">
      <c r="A78">
        <v>1.1111887943116017</v>
      </c>
      <c r="B78">
        <f t="shared" si="5"/>
        <v>1.234740536603671</v>
      </c>
      <c r="H78">
        <f t="shared" si="6"/>
        <v>1.234740536603671</v>
      </c>
      <c r="J78">
        <f t="shared" si="7"/>
        <v>0</v>
      </c>
      <c r="K78">
        <f t="shared" si="8"/>
        <v>0</v>
      </c>
    </row>
    <row r="79" spans="1:11" x14ac:dyDescent="0.25">
      <c r="A79">
        <v>-1.2011787475785241</v>
      </c>
      <c r="B79">
        <f t="shared" si="5"/>
        <v>1.4428303836343117</v>
      </c>
      <c r="H79">
        <f t="shared" si="6"/>
        <v>1.4428303836343117</v>
      </c>
      <c r="J79">
        <f t="shared" si="7"/>
        <v>0</v>
      </c>
      <c r="K79">
        <f t="shared" si="8"/>
        <v>0</v>
      </c>
    </row>
    <row r="80" spans="1:11" x14ac:dyDescent="0.25">
      <c r="A80">
        <v>-1.5588921087328345</v>
      </c>
      <c r="B80">
        <f t="shared" si="5"/>
        <v>2.4301446066695034</v>
      </c>
      <c r="H80">
        <f t="shared" si="6"/>
        <v>2.4301446066695034</v>
      </c>
      <c r="J80">
        <f t="shared" si="7"/>
        <v>0</v>
      </c>
      <c r="K80">
        <f t="shared" si="8"/>
        <v>0</v>
      </c>
    </row>
    <row r="81" spans="1:11" x14ac:dyDescent="0.25">
      <c r="A81">
        <v>0.7113249012036249</v>
      </c>
      <c r="B81">
        <f t="shared" si="5"/>
        <v>0.50598311507234672</v>
      </c>
      <c r="H81">
        <f t="shared" si="6"/>
        <v>0.50598311507234672</v>
      </c>
      <c r="J81">
        <f t="shared" si="7"/>
        <v>0</v>
      </c>
      <c r="K81">
        <f t="shared" si="8"/>
        <v>0</v>
      </c>
    </row>
    <row r="82" spans="1:11" x14ac:dyDescent="0.25">
      <c r="A82">
        <v>0.63840616348898038</v>
      </c>
      <c r="B82">
        <f t="shared" si="5"/>
        <v>0.40756242958071875</v>
      </c>
      <c r="H82">
        <f t="shared" si="6"/>
        <v>0.40756242958071875</v>
      </c>
      <c r="J82">
        <f t="shared" si="7"/>
        <v>0</v>
      </c>
      <c r="K82">
        <f t="shared" si="8"/>
        <v>0</v>
      </c>
    </row>
    <row r="83" spans="1:11" x14ac:dyDescent="0.25">
      <c r="A83">
        <v>2.2056883608456701</v>
      </c>
      <c r="B83">
        <f t="shared" si="5"/>
        <v>4.8650611451700589</v>
      </c>
      <c r="H83">
        <f t="shared" si="6"/>
        <v>4.8650611451700589</v>
      </c>
      <c r="J83">
        <f t="shared" si="7"/>
        <v>0</v>
      </c>
      <c r="K83">
        <f t="shared" si="8"/>
        <v>0</v>
      </c>
    </row>
    <row r="84" spans="1:11" x14ac:dyDescent="0.25">
      <c r="A84">
        <v>1.4437546269618906</v>
      </c>
      <c r="B84">
        <f t="shared" si="5"/>
        <v>2.0844274228738677</v>
      </c>
      <c r="G84">
        <f>$F$3*$E$11</f>
        <v>0.29013702440138994</v>
      </c>
      <c r="H84">
        <f t="shared" si="6"/>
        <v>2.3745644472752576</v>
      </c>
      <c r="J84">
        <f t="shared" si="7"/>
        <v>0</v>
      </c>
      <c r="K84">
        <f t="shared" si="8"/>
        <v>0</v>
      </c>
    </row>
    <row r="85" spans="1:11" x14ac:dyDescent="0.25">
      <c r="A85">
        <v>1.3039039004070219</v>
      </c>
      <c r="B85">
        <f t="shared" si="5"/>
        <v>1.7001653814966449</v>
      </c>
      <c r="H85">
        <f t="shared" si="6"/>
        <v>1.7001653814966449</v>
      </c>
      <c r="J85">
        <f t="shared" si="7"/>
        <v>0</v>
      </c>
      <c r="K85">
        <f t="shared" si="8"/>
        <v>0</v>
      </c>
    </row>
    <row r="86" spans="1:11" x14ac:dyDescent="0.25">
      <c r="A86">
        <v>0.1129603788285749</v>
      </c>
      <c r="B86">
        <f t="shared" si="5"/>
        <v>1.2760047185095153E-2</v>
      </c>
      <c r="H86">
        <f t="shared" si="6"/>
        <v>1.2760047185095153E-2</v>
      </c>
      <c r="J86">
        <f t="shared" si="7"/>
        <v>0</v>
      </c>
      <c r="K86">
        <f t="shared" si="8"/>
        <v>0</v>
      </c>
    </row>
    <row r="87" spans="1:11" x14ac:dyDescent="0.25">
      <c r="A87">
        <v>1.9508661353029311E-3</v>
      </c>
      <c r="B87">
        <f t="shared" si="5"/>
        <v>3.8058786778717942E-6</v>
      </c>
      <c r="G87">
        <f>$F$3*$E$12</f>
        <v>14.042530469745101</v>
      </c>
      <c r="H87">
        <f t="shared" si="6"/>
        <v>14.042534275623778</v>
      </c>
      <c r="J87">
        <f t="shared" si="7"/>
        <v>1</v>
      </c>
      <c r="K87">
        <f t="shared" si="8"/>
        <v>1</v>
      </c>
    </row>
    <row r="88" spans="1:11" x14ac:dyDescent="0.25">
      <c r="A88">
        <v>0.45370143197942525</v>
      </c>
      <c r="B88">
        <f t="shared" si="5"/>
        <v>0.20584498938018103</v>
      </c>
      <c r="H88">
        <f t="shared" si="6"/>
        <v>0.20584498938018103</v>
      </c>
      <c r="J88">
        <f t="shared" si="7"/>
        <v>0</v>
      </c>
      <c r="K88">
        <f t="shared" si="8"/>
        <v>0</v>
      </c>
    </row>
    <row r="89" spans="1:11" x14ac:dyDescent="0.25">
      <c r="A89">
        <v>-2.5514736989862286E-2</v>
      </c>
      <c r="B89">
        <f t="shared" si="5"/>
        <v>6.5100180366184672E-4</v>
      </c>
      <c r="H89">
        <f t="shared" si="6"/>
        <v>6.5100180366184672E-4</v>
      </c>
      <c r="J89">
        <f t="shared" si="7"/>
        <v>0</v>
      </c>
      <c r="K89">
        <f t="shared" si="8"/>
        <v>0</v>
      </c>
    </row>
    <row r="90" spans="1:11" x14ac:dyDescent="0.25">
      <c r="A90">
        <v>-1.0546750672801863</v>
      </c>
      <c r="B90">
        <f t="shared" si="5"/>
        <v>1.1123394975424656</v>
      </c>
      <c r="H90">
        <f t="shared" si="6"/>
        <v>1.1123394975424656</v>
      </c>
      <c r="J90">
        <f t="shared" si="7"/>
        <v>0</v>
      </c>
      <c r="K90">
        <f t="shared" si="8"/>
        <v>0</v>
      </c>
    </row>
    <row r="91" spans="1:11" x14ac:dyDescent="0.25">
      <c r="A91">
        <v>-1.7748061509337276</v>
      </c>
      <c r="B91">
        <f t="shared" si="5"/>
        <v>3.1499368733921935</v>
      </c>
      <c r="H91">
        <f t="shared" si="6"/>
        <v>3.1499368733921935</v>
      </c>
      <c r="J91">
        <f t="shared" si="7"/>
        <v>0</v>
      </c>
      <c r="K91">
        <f t="shared" si="8"/>
        <v>0</v>
      </c>
    </row>
    <row r="92" spans="1:11" x14ac:dyDescent="0.25">
      <c r="A92">
        <v>0.82833139458671212</v>
      </c>
      <c r="B92">
        <f t="shared" si="5"/>
        <v>0.68613289925796739</v>
      </c>
      <c r="H92">
        <f t="shared" si="6"/>
        <v>0.68613289925796739</v>
      </c>
      <c r="J92">
        <f t="shared" si="7"/>
        <v>0</v>
      </c>
      <c r="K92">
        <f t="shared" si="8"/>
        <v>0</v>
      </c>
    </row>
    <row r="93" spans="1:11" x14ac:dyDescent="0.25">
      <c r="A93">
        <v>0.44422449718695134</v>
      </c>
      <c r="B93">
        <f t="shared" si="5"/>
        <v>0.19733540390099974</v>
      </c>
      <c r="H93">
        <f t="shared" si="6"/>
        <v>0.19733540390099974</v>
      </c>
      <c r="J93">
        <f t="shared" si="7"/>
        <v>0</v>
      </c>
      <c r="K93">
        <f t="shared" si="8"/>
        <v>0</v>
      </c>
    </row>
    <row r="94" spans="1:11" x14ac:dyDescent="0.25">
      <c r="A94">
        <v>0.61790615291101858</v>
      </c>
      <c r="B94">
        <f t="shared" si="5"/>
        <v>0.38180801380529505</v>
      </c>
      <c r="H94">
        <f t="shared" si="6"/>
        <v>0.38180801380529505</v>
      </c>
      <c r="J94">
        <f t="shared" si="7"/>
        <v>0</v>
      </c>
      <c r="K94">
        <f t="shared" si="8"/>
        <v>0</v>
      </c>
    </row>
    <row r="95" spans="1:11" x14ac:dyDescent="0.25">
      <c r="A95">
        <v>0.21347318579501007</v>
      </c>
      <c r="B95">
        <f t="shared" si="5"/>
        <v>4.5570801053470888E-2</v>
      </c>
      <c r="H95">
        <f t="shared" si="6"/>
        <v>4.5570801053470888E-2</v>
      </c>
      <c r="J95">
        <f t="shared" si="7"/>
        <v>0</v>
      </c>
      <c r="K95">
        <f t="shared" si="8"/>
        <v>0</v>
      </c>
    </row>
    <row r="96" spans="1:11" x14ac:dyDescent="0.25">
      <c r="A96">
        <v>-1.0269309314026032</v>
      </c>
      <c r="B96">
        <f t="shared" si="5"/>
        <v>1.054587137871418</v>
      </c>
      <c r="H96">
        <f t="shared" si="6"/>
        <v>1.054587137871418</v>
      </c>
      <c r="J96">
        <f t="shared" si="7"/>
        <v>0</v>
      </c>
      <c r="K96">
        <f t="shared" si="8"/>
        <v>0</v>
      </c>
    </row>
    <row r="97" spans="1:13" x14ac:dyDescent="0.25">
      <c r="A97">
        <v>1.2381951819406822</v>
      </c>
      <c r="B97">
        <f t="shared" si="5"/>
        <v>1.5331273085811192</v>
      </c>
      <c r="H97">
        <f t="shared" si="6"/>
        <v>1.5331273085811192</v>
      </c>
      <c r="J97">
        <f t="shared" si="7"/>
        <v>0</v>
      </c>
      <c r="K97">
        <f t="shared" si="8"/>
        <v>0</v>
      </c>
    </row>
    <row r="98" spans="1:13" x14ac:dyDescent="0.25">
      <c r="A98">
        <v>-0.31121317078941502</v>
      </c>
      <c r="B98">
        <f t="shared" si="5"/>
        <v>9.6853637672801599E-2</v>
      </c>
      <c r="H98">
        <f t="shared" si="6"/>
        <v>9.6853637672801599E-2</v>
      </c>
      <c r="J98">
        <f t="shared" si="7"/>
        <v>0</v>
      </c>
      <c r="K98">
        <f t="shared" si="8"/>
        <v>0</v>
      </c>
    </row>
    <row r="99" spans="1:13" x14ac:dyDescent="0.25">
      <c r="A99">
        <v>-0.83992176769243088</v>
      </c>
      <c r="B99">
        <f t="shared" si="5"/>
        <v>0.70546857584357781</v>
      </c>
      <c r="H99">
        <f t="shared" si="6"/>
        <v>0.70546857584357781</v>
      </c>
      <c r="J99">
        <f t="shared" si="7"/>
        <v>0</v>
      </c>
      <c r="K99">
        <f t="shared" si="8"/>
        <v>0</v>
      </c>
    </row>
    <row r="100" spans="1:13" x14ac:dyDescent="0.25">
      <c r="A100">
        <v>-0.82112819654867053</v>
      </c>
      <c r="B100">
        <f t="shared" si="5"/>
        <v>0.67425151516727211</v>
      </c>
      <c r="H100">
        <f t="shared" si="6"/>
        <v>0.67425151516727211</v>
      </c>
      <c r="J100">
        <f t="shared" si="7"/>
        <v>0</v>
      </c>
      <c r="K100">
        <f t="shared" si="8"/>
        <v>0</v>
      </c>
    </row>
    <row r="101" spans="1:13" x14ac:dyDescent="0.25">
      <c r="A101">
        <v>-0.42899273466900922</v>
      </c>
      <c r="B101">
        <f t="shared" si="5"/>
        <v>0.18403476639879496</v>
      </c>
      <c r="H101">
        <f t="shared" si="6"/>
        <v>0.18403476639879496</v>
      </c>
      <c r="J101">
        <f t="shared" si="7"/>
        <v>0</v>
      </c>
      <c r="K101">
        <f t="shared" si="8"/>
        <v>0</v>
      </c>
    </row>
    <row r="102" spans="1:13" x14ac:dyDescent="0.25">
      <c r="A102">
        <v>-0.45336150833463762</v>
      </c>
      <c r="B102">
        <f t="shared" si="5"/>
        <v>0.20553665723945769</v>
      </c>
      <c r="H102">
        <f t="shared" si="6"/>
        <v>0.20553665723945769</v>
      </c>
      <c r="J102">
        <f t="shared" si="7"/>
        <v>0</v>
      </c>
      <c r="K102">
        <f t="shared" si="8"/>
        <v>0</v>
      </c>
    </row>
    <row r="103" spans="1:13" x14ac:dyDescent="0.25">
      <c r="J103" t="s">
        <v>3</v>
      </c>
      <c r="K103" t="s">
        <v>1</v>
      </c>
      <c r="L103" t="s">
        <v>6</v>
      </c>
      <c r="M103" t="s">
        <v>20</v>
      </c>
    </row>
    <row r="104" spans="1:13" x14ac:dyDescent="0.25">
      <c r="B104">
        <f>SUM(B3:B102)/100</f>
        <v>1.1684412170180385</v>
      </c>
      <c r="J104">
        <f>SUM(J3:J102)</f>
        <v>3</v>
      </c>
      <c r="K104">
        <f>SUM(K3:K102)</f>
        <v>3</v>
      </c>
      <c r="L104" s="2">
        <f>K104/10</f>
        <v>0.3</v>
      </c>
      <c r="M104" s="2">
        <f>J108/90</f>
        <v>1</v>
      </c>
    </row>
    <row r="105" spans="1:13" x14ac:dyDescent="0.25">
      <c r="J105" t="s">
        <v>4</v>
      </c>
      <c r="K105" t="s">
        <v>5</v>
      </c>
    </row>
    <row r="106" spans="1:13" x14ac:dyDescent="0.25">
      <c r="J106">
        <f>100-J104</f>
        <v>97</v>
      </c>
      <c r="K106">
        <f>10-K104</f>
        <v>7</v>
      </c>
    </row>
    <row r="107" spans="1:13" x14ac:dyDescent="0.25">
      <c r="J107" t="s">
        <v>2</v>
      </c>
      <c r="K107" t="s">
        <v>7</v>
      </c>
    </row>
    <row r="108" spans="1:13" x14ac:dyDescent="0.25">
      <c r="J108">
        <f>J106-K106</f>
        <v>90</v>
      </c>
      <c r="K108">
        <f>J104-K104</f>
        <v>0</v>
      </c>
    </row>
  </sheetData>
  <phoneticPr fontId="0" type="noConversion"/>
  <pageMargins left="0.75" right="0.75" top="1" bottom="1" header="0.5" footer="0.5"/>
  <pageSetup paperSize="9" orientation="portrait" horizontalDpi="180" verticalDpi="180" copies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865E-34E4-4DF9-8BAF-419DBD73B854}">
  <dimension ref="A1:B800"/>
  <sheetViews>
    <sheetView topLeftCell="A621" workbookViewId="0">
      <selection activeCell="D15" sqref="D15"/>
    </sheetView>
  </sheetViews>
  <sheetFormatPr defaultRowHeight="13.2" x14ac:dyDescent="0.25"/>
  <cols>
    <col min="1" max="1" width="11.33203125" customWidth="1"/>
    <col min="2" max="2" width="13.33203125" customWidth="1"/>
  </cols>
  <sheetData>
    <row r="1" spans="1:2" x14ac:dyDescent="0.25">
      <c r="A1">
        <v>9.0139349378193914E-2</v>
      </c>
      <c r="B1">
        <v>0</v>
      </c>
    </row>
    <row r="2" spans="1:2" x14ac:dyDescent="0.25">
      <c r="A2">
        <v>1.6324742781863637</v>
      </c>
      <c r="B2">
        <v>0</v>
      </c>
    </row>
    <row r="3" spans="1:2" x14ac:dyDescent="0.25">
      <c r="A3">
        <v>5.9661632371334705E-2</v>
      </c>
      <c r="B3">
        <v>0</v>
      </c>
    </row>
    <row r="4" spans="1:2" x14ac:dyDescent="0.25">
      <c r="A4">
        <v>4.332742394567239</v>
      </c>
      <c r="B4">
        <v>1</v>
      </c>
    </row>
    <row r="5" spans="1:2" x14ac:dyDescent="0.25">
      <c r="A5">
        <v>1.4360432475115879</v>
      </c>
      <c r="B5">
        <v>0</v>
      </c>
    </row>
    <row r="6" spans="1:2" x14ac:dyDescent="0.25">
      <c r="A6">
        <v>3.0037503551355682</v>
      </c>
      <c r="B6">
        <v>0</v>
      </c>
    </row>
    <row r="7" spans="1:2" x14ac:dyDescent="0.25">
      <c r="A7">
        <v>4.7680549797815299</v>
      </c>
      <c r="B7">
        <v>0</v>
      </c>
    </row>
    <row r="8" spans="1:2" x14ac:dyDescent="0.25">
      <c r="A8">
        <v>5.484085470697786E-2</v>
      </c>
      <c r="B8">
        <v>0</v>
      </c>
    </row>
    <row r="9" spans="1:2" x14ac:dyDescent="0.25">
      <c r="A9">
        <v>1.1990743324202375</v>
      </c>
      <c r="B9">
        <v>0</v>
      </c>
    </row>
    <row r="10" spans="1:2" x14ac:dyDescent="0.25">
      <c r="A10">
        <v>1.1809183015506208</v>
      </c>
      <c r="B10">
        <v>0</v>
      </c>
    </row>
    <row r="11" spans="1:2" x14ac:dyDescent="0.25">
      <c r="A11">
        <v>0.47638178316005664</v>
      </c>
      <c r="B11">
        <v>0</v>
      </c>
    </row>
    <row r="12" spans="1:2" x14ac:dyDescent="0.25">
      <c r="A12">
        <v>2.8575614536888798</v>
      </c>
      <c r="B12">
        <v>0</v>
      </c>
    </row>
    <row r="13" spans="1:2" x14ac:dyDescent="0.25">
      <c r="A13">
        <v>3.4110798388891475</v>
      </c>
      <c r="B13">
        <v>0</v>
      </c>
    </row>
    <row r="14" spans="1:2" x14ac:dyDescent="0.25">
      <c r="A14">
        <v>0.96188686924722411</v>
      </c>
      <c r="B14">
        <v>1</v>
      </c>
    </row>
    <row r="15" spans="1:2" x14ac:dyDescent="0.25">
      <c r="A15">
        <v>0.59831316253181888</v>
      </c>
      <c r="B15">
        <v>0</v>
      </c>
    </row>
    <row r="16" spans="1:2" x14ac:dyDescent="0.25">
      <c r="A16">
        <v>4.48563264024639</v>
      </c>
      <c r="B16">
        <v>0</v>
      </c>
    </row>
    <row r="17" spans="1:2" x14ac:dyDescent="0.25">
      <c r="A17">
        <v>0.32253865975357943</v>
      </c>
      <c r="B17">
        <v>0</v>
      </c>
    </row>
    <row r="18" spans="1:2" x14ac:dyDescent="0.25">
      <c r="A18">
        <v>0.1632544378015795</v>
      </c>
      <c r="B18">
        <v>0</v>
      </c>
    </row>
    <row r="19" spans="1:2" x14ac:dyDescent="0.25">
      <c r="A19">
        <v>1.8185345948900405E-2</v>
      </c>
      <c r="B19">
        <v>0</v>
      </c>
    </row>
    <row r="20" spans="1:2" x14ac:dyDescent="0.25">
      <c r="A20">
        <v>0.13358509756664996</v>
      </c>
      <c r="B20">
        <v>0</v>
      </c>
    </row>
    <row r="21" spans="1:2" x14ac:dyDescent="0.25">
      <c r="A21">
        <v>0.10692287219178176</v>
      </c>
      <c r="B21">
        <v>0</v>
      </c>
    </row>
    <row r="22" spans="1:2" x14ac:dyDescent="0.25">
      <c r="A22">
        <v>1.646524855572681</v>
      </c>
      <c r="B22">
        <v>1</v>
      </c>
    </row>
    <row r="23" spans="1:2" x14ac:dyDescent="0.25">
      <c r="A23">
        <v>1.8026863411641771</v>
      </c>
      <c r="B23">
        <v>0</v>
      </c>
    </row>
    <row r="24" spans="1:2" x14ac:dyDescent="0.25">
      <c r="A24">
        <v>7.2734382737937309E-3</v>
      </c>
      <c r="B24">
        <v>0</v>
      </c>
    </row>
    <row r="25" spans="1:2" x14ac:dyDescent="0.25">
      <c r="A25">
        <v>3.4654670391277523E-2</v>
      </c>
      <c r="B25">
        <v>0</v>
      </c>
    </row>
    <row r="26" spans="1:2" x14ac:dyDescent="0.25">
      <c r="A26">
        <v>0.26338183190408626</v>
      </c>
      <c r="B26">
        <v>0</v>
      </c>
    </row>
    <row r="27" spans="1:2" x14ac:dyDescent="0.25">
      <c r="A27">
        <v>5.6206747247505175</v>
      </c>
      <c r="B27">
        <v>1</v>
      </c>
    </row>
    <row r="28" spans="1:2" x14ac:dyDescent="0.25">
      <c r="A28">
        <v>0.74938969671029354</v>
      </c>
      <c r="B28">
        <v>0</v>
      </c>
    </row>
    <row r="29" spans="1:2" x14ac:dyDescent="0.25">
      <c r="A29">
        <v>5.6437353995590325</v>
      </c>
      <c r="B29">
        <v>0</v>
      </c>
    </row>
    <row r="30" spans="1:2" x14ac:dyDescent="0.25">
      <c r="A30">
        <v>0.42890274787210403</v>
      </c>
      <c r="B30">
        <v>0</v>
      </c>
    </row>
    <row r="31" spans="1:2" x14ac:dyDescent="0.25">
      <c r="A31">
        <v>2.7604354625859435</v>
      </c>
      <c r="B31">
        <v>0</v>
      </c>
    </row>
    <row r="32" spans="1:2" x14ac:dyDescent="0.25">
      <c r="A32">
        <v>2.5998262850419533</v>
      </c>
      <c r="B32">
        <v>0</v>
      </c>
    </row>
    <row r="33" spans="1:2" x14ac:dyDescent="0.25">
      <c r="A33">
        <v>0.29046534593159479</v>
      </c>
      <c r="B33">
        <v>0</v>
      </c>
    </row>
    <row r="34" spans="1:2" x14ac:dyDescent="0.25">
      <c r="A34">
        <v>0.81394942926578606</v>
      </c>
      <c r="B34">
        <v>0</v>
      </c>
    </row>
    <row r="35" spans="1:2" x14ac:dyDescent="0.25">
      <c r="A35">
        <v>3.6822370278426404</v>
      </c>
      <c r="B35">
        <v>0</v>
      </c>
    </row>
    <row r="36" spans="1:2" x14ac:dyDescent="0.25">
      <c r="A36">
        <v>7.1431349352789539E-3</v>
      </c>
      <c r="B36">
        <v>0</v>
      </c>
    </row>
    <row r="37" spans="1:2" x14ac:dyDescent="0.25">
      <c r="A37">
        <v>0.27436125626574287</v>
      </c>
      <c r="B37">
        <v>0</v>
      </c>
    </row>
    <row r="38" spans="1:2" x14ac:dyDescent="0.25">
      <c r="A38">
        <v>0.45581183317096047</v>
      </c>
      <c r="B38">
        <v>0</v>
      </c>
    </row>
    <row r="39" spans="1:2" x14ac:dyDescent="0.25">
      <c r="A39">
        <v>0.145407873707285</v>
      </c>
      <c r="B39">
        <v>0</v>
      </c>
    </row>
    <row r="40" spans="1:2" x14ac:dyDescent="0.25">
      <c r="A40">
        <v>0.57397497327622893</v>
      </c>
      <c r="B40">
        <v>0</v>
      </c>
    </row>
    <row r="41" spans="1:2" x14ac:dyDescent="0.25">
      <c r="A41">
        <v>2.0856750423311814</v>
      </c>
      <c r="B41">
        <v>0</v>
      </c>
    </row>
    <row r="42" spans="1:2" x14ac:dyDescent="0.25">
      <c r="A42">
        <v>0.7178114080091974</v>
      </c>
      <c r="B42">
        <v>0</v>
      </c>
    </row>
    <row r="43" spans="1:2" x14ac:dyDescent="0.25">
      <c r="A43">
        <v>6.8844107382684996</v>
      </c>
      <c r="B43">
        <v>1</v>
      </c>
    </row>
    <row r="44" spans="1:2" x14ac:dyDescent="0.25">
      <c r="A44">
        <v>0.13167972970169131</v>
      </c>
      <c r="B44">
        <v>0</v>
      </c>
    </row>
    <row r="45" spans="1:2" x14ac:dyDescent="0.25">
      <c r="A45">
        <v>1.0548979564097877E-3</v>
      </c>
      <c r="B45">
        <v>0</v>
      </c>
    </row>
    <row r="46" spans="1:2" x14ac:dyDescent="0.25">
      <c r="A46">
        <v>7.9056730321523086E-4</v>
      </c>
      <c r="B46">
        <v>0</v>
      </c>
    </row>
    <row r="47" spans="1:2" x14ac:dyDescent="0.25">
      <c r="A47">
        <v>0.10414561990257987</v>
      </c>
      <c r="B47">
        <v>0</v>
      </c>
    </row>
    <row r="48" spans="1:2" x14ac:dyDescent="0.25">
      <c r="A48">
        <v>4.815837167127329</v>
      </c>
      <c r="B48">
        <v>0</v>
      </c>
    </row>
    <row r="49" spans="1:2" x14ac:dyDescent="0.25">
      <c r="A49">
        <v>3.036245991974992</v>
      </c>
      <c r="B49">
        <v>0</v>
      </c>
    </row>
    <row r="50" spans="1:2" x14ac:dyDescent="0.25">
      <c r="A50">
        <v>0.54239833791789183</v>
      </c>
      <c r="B50">
        <v>0</v>
      </c>
    </row>
    <row r="51" spans="1:2" x14ac:dyDescent="0.25">
      <c r="A51">
        <v>6.6439224939048565</v>
      </c>
      <c r="B51">
        <v>0</v>
      </c>
    </row>
    <row r="52" spans="1:2" x14ac:dyDescent="0.25">
      <c r="A52">
        <v>2.0957484336860639</v>
      </c>
      <c r="B52">
        <v>0</v>
      </c>
    </row>
    <row r="53" spans="1:2" x14ac:dyDescent="0.25">
      <c r="A53">
        <v>15.026122250756154</v>
      </c>
      <c r="B53">
        <v>1</v>
      </c>
    </row>
    <row r="54" spans="1:2" x14ac:dyDescent="0.25">
      <c r="A54">
        <v>0.42716674544694572</v>
      </c>
      <c r="B54">
        <v>0</v>
      </c>
    </row>
    <row r="55" spans="1:2" x14ac:dyDescent="0.25">
      <c r="A55">
        <v>0.57413001853683043</v>
      </c>
      <c r="B55">
        <v>0</v>
      </c>
    </row>
    <row r="56" spans="1:2" x14ac:dyDescent="0.25">
      <c r="A56">
        <v>0.21781986103079626</v>
      </c>
      <c r="B56">
        <v>0</v>
      </c>
    </row>
    <row r="57" spans="1:2" x14ac:dyDescent="0.25">
      <c r="A57">
        <v>0.7649404808816439</v>
      </c>
      <c r="B57">
        <v>0</v>
      </c>
    </row>
    <row r="58" spans="1:2" x14ac:dyDescent="0.25">
      <c r="A58">
        <v>0.35490825298261169</v>
      </c>
      <c r="B58">
        <v>0</v>
      </c>
    </row>
    <row r="59" spans="1:2" x14ac:dyDescent="0.25">
      <c r="A59">
        <v>1.8819723562114483</v>
      </c>
      <c r="B59">
        <v>0</v>
      </c>
    </row>
    <row r="60" spans="1:2" x14ac:dyDescent="0.25">
      <c r="A60">
        <v>1.244872493116234</v>
      </c>
      <c r="B60">
        <v>0</v>
      </c>
    </row>
    <row r="61" spans="1:2" x14ac:dyDescent="0.25">
      <c r="A61">
        <v>0.48162833780041647</v>
      </c>
      <c r="B61">
        <v>0</v>
      </c>
    </row>
    <row r="62" spans="1:2" x14ac:dyDescent="0.25">
      <c r="A62">
        <v>9.8085731059050332</v>
      </c>
      <c r="B62">
        <v>1</v>
      </c>
    </row>
    <row r="63" spans="1:2" x14ac:dyDescent="0.25">
      <c r="A63">
        <v>0.88329493760555644</v>
      </c>
      <c r="B63">
        <v>0</v>
      </c>
    </row>
    <row r="64" spans="1:2" x14ac:dyDescent="0.25">
      <c r="A64">
        <v>5.8055882740078328E-2</v>
      </c>
      <c r="B64">
        <v>0</v>
      </c>
    </row>
    <row r="65" spans="1:2" x14ac:dyDescent="0.25">
      <c r="A65">
        <v>1.7301632809585906E-2</v>
      </c>
      <c r="B65">
        <v>0</v>
      </c>
    </row>
    <row r="66" spans="1:2" x14ac:dyDescent="0.25">
      <c r="A66">
        <v>0.31113821619336707</v>
      </c>
      <c r="B66">
        <v>0</v>
      </c>
    </row>
    <row r="67" spans="1:2" x14ac:dyDescent="0.25">
      <c r="A67">
        <v>1.9241849850620073E-2</v>
      </c>
      <c r="B67">
        <v>0</v>
      </c>
    </row>
    <row r="68" spans="1:2" x14ac:dyDescent="0.25">
      <c r="A68">
        <v>0.82985042082735083</v>
      </c>
      <c r="B68">
        <v>0</v>
      </c>
    </row>
    <row r="69" spans="1:2" x14ac:dyDescent="0.25">
      <c r="A69">
        <v>3.5526441229198706</v>
      </c>
      <c r="B69">
        <v>0</v>
      </c>
    </row>
    <row r="70" spans="1:2" x14ac:dyDescent="0.25">
      <c r="A70">
        <v>0.23736200992999917</v>
      </c>
      <c r="B70">
        <v>0</v>
      </c>
    </row>
    <row r="71" spans="1:2" x14ac:dyDescent="0.25">
      <c r="A71">
        <v>5.2184572898451628E-3</v>
      </c>
      <c r="B71">
        <v>0</v>
      </c>
    </row>
    <row r="72" spans="1:2" x14ac:dyDescent="0.25">
      <c r="A72">
        <v>0.68863634384563011</v>
      </c>
      <c r="B72">
        <v>0</v>
      </c>
    </row>
    <row r="73" spans="1:2" x14ac:dyDescent="0.25">
      <c r="A73">
        <v>0.74305729150743316</v>
      </c>
      <c r="B73">
        <v>0</v>
      </c>
    </row>
    <row r="74" spans="1:2" x14ac:dyDescent="0.25">
      <c r="A74">
        <v>0.40517230916219832</v>
      </c>
      <c r="B74">
        <v>0</v>
      </c>
    </row>
    <row r="75" spans="1:2" x14ac:dyDescent="0.25">
      <c r="A75">
        <v>5.3211469075212108</v>
      </c>
      <c r="B75">
        <v>1</v>
      </c>
    </row>
    <row r="76" spans="1:2" x14ac:dyDescent="0.25">
      <c r="A76">
        <v>1.234740536603671</v>
      </c>
      <c r="B76">
        <v>0</v>
      </c>
    </row>
    <row r="77" spans="1:2" x14ac:dyDescent="0.25">
      <c r="A77">
        <v>1.4428303836343117</v>
      </c>
      <c r="B77">
        <v>0</v>
      </c>
    </row>
    <row r="78" spans="1:2" x14ac:dyDescent="0.25">
      <c r="A78">
        <v>2.4301446066695034</v>
      </c>
      <c r="B78">
        <v>0</v>
      </c>
    </row>
    <row r="79" spans="1:2" x14ac:dyDescent="0.25">
      <c r="A79">
        <v>0.50598311507234672</v>
      </c>
      <c r="B79">
        <v>0</v>
      </c>
    </row>
    <row r="80" spans="1:2" x14ac:dyDescent="0.25">
      <c r="A80">
        <v>0.40756242958071875</v>
      </c>
      <c r="B80">
        <v>0</v>
      </c>
    </row>
    <row r="81" spans="1:2" x14ac:dyDescent="0.25">
      <c r="A81">
        <v>4.8650611451700589</v>
      </c>
      <c r="B81">
        <v>0</v>
      </c>
    </row>
    <row r="82" spans="1:2" x14ac:dyDescent="0.25">
      <c r="A82">
        <v>2.3745644472752576</v>
      </c>
      <c r="B82">
        <v>1</v>
      </c>
    </row>
    <row r="83" spans="1:2" x14ac:dyDescent="0.25">
      <c r="A83">
        <v>1.7001653814966449</v>
      </c>
      <c r="B83">
        <v>0</v>
      </c>
    </row>
    <row r="84" spans="1:2" x14ac:dyDescent="0.25">
      <c r="A84">
        <v>1.2760047185095153E-2</v>
      </c>
      <c r="B84">
        <v>0</v>
      </c>
    </row>
    <row r="85" spans="1:2" x14ac:dyDescent="0.25">
      <c r="A85">
        <v>14.042534275623778</v>
      </c>
      <c r="B85">
        <v>1</v>
      </c>
    </row>
    <row r="86" spans="1:2" x14ac:dyDescent="0.25">
      <c r="A86">
        <v>0.20584498938018103</v>
      </c>
      <c r="B86">
        <v>0</v>
      </c>
    </row>
    <row r="87" spans="1:2" x14ac:dyDescent="0.25">
      <c r="A87">
        <v>6.5100180366184672E-4</v>
      </c>
      <c r="B87">
        <v>0</v>
      </c>
    </row>
    <row r="88" spans="1:2" x14ac:dyDescent="0.25">
      <c r="A88">
        <v>1.1123394975424656</v>
      </c>
      <c r="B88">
        <v>0</v>
      </c>
    </row>
    <row r="89" spans="1:2" x14ac:dyDescent="0.25">
      <c r="A89">
        <v>3.1499368733921935</v>
      </c>
      <c r="B89">
        <v>0</v>
      </c>
    </row>
    <row r="90" spans="1:2" x14ac:dyDescent="0.25">
      <c r="A90">
        <v>0.68613289925796739</v>
      </c>
      <c r="B90">
        <v>0</v>
      </c>
    </row>
    <row r="91" spans="1:2" x14ac:dyDescent="0.25">
      <c r="A91">
        <v>0.19733540390099974</v>
      </c>
      <c r="B91">
        <v>0</v>
      </c>
    </row>
    <row r="92" spans="1:2" x14ac:dyDescent="0.25">
      <c r="A92">
        <v>0.38180801380529505</v>
      </c>
      <c r="B92">
        <v>0</v>
      </c>
    </row>
    <row r="93" spans="1:2" x14ac:dyDescent="0.25">
      <c r="A93">
        <v>4.5570801053470888E-2</v>
      </c>
      <c r="B93">
        <v>0</v>
      </c>
    </row>
    <row r="94" spans="1:2" x14ac:dyDescent="0.25">
      <c r="A94">
        <v>1.054587137871418</v>
      </c>
      <c r="B94">
        <v>0</v>
      </c>
    </row>
    <row r="95" spans="1:2" x14ac:dyDescent="0.25">
      <c r="A95">
        <v>1.5331273085811192</v>
      </c>
      <c r="B95">
        <v>0</v>
      </c>
    </row>
    <row r="96" spans="1:2" x14ac:dyDescent="0.25">
      <c r="A96">
        <v>9.6853637672801599E-2</v>
      </c>
      <c r="B96">
        <v>0</v>
      </c>
    </row>
    <row r="97" spans="1:2" x14ac:dyDescent="0.25">
      <c r="A97">
        <v>0.70546857584357781</v>
      </c>
      <c r="B97">
        <v>0</v>
      </c>
    </row>
    <row r="98" spans="1:2" x14ac:dyDescent="0.25">
      <c r="A98">
        <v>0.67425151516727211</v>
      </c>
      <c r="B98">
        <v>0</v>
      </c>
    </row>
    <row r="99" spans="1:2" x14ac:dyDescent="0.25">
      <c r="A99">
        <v>0.18403476639879496</v>
      </c>
      <c r="B99">
        <v>0</v>
      </c>
    </row>
    <row r="100" spans="1:2" x14ac:dyDescent="0.25">
      <c r="A100">
        <v>0.20553665723945769</v>
      </c>
      <c r="B100">
        <v>0</v>
      </c>
    </row>
    <row r="101" spans="1:2" x14ac:dyDescent="0.25">
      <c r="A101">
        <v>9.0139349378193914E-2</v>
      </c>
      <c r="B101">
        <v>0</v>
      </c>
    </row>
    <row r="102" spans="1:2" x14ac:dyDescent="0.25">
      <c r="A102">
        <v>1.6324742781863637</v>
      </c>
      <c r="B102">
        <v>0</v>
      </c>
    </row>
    <row r="103" spans="1:2" x14ac:dyDescent="0.25">
      <c r="A103">
        <v>5.9661632371334705E-2</v>
      </c>
      <c r="B103">
        <v>0</v>
      </c>
    </row>
    <row r="104" spans="1:2" x14ac:dyDescent="0.25">
      <c r="A104">
        <v>4.332742394567239</v>
      </c>
      <c r="B104">
        <v>1</v>
      </c>
    </row>
    <row r="105" spans="1:2" x14ac:dyDescent="0.25">
      <c r="A105">
        <v>1.4360432475115879</v>
      </c>
      <c r="B105">
        <v>0</v>
      </c>
    </row>
    <row r="106" spans="1:2" x14ac:dyDescent="0.25">
      <c r="A106">
        <v>3.0037503551355682</v>
      </c>
      <c r="B106">
        <v>0</v>
      </c>
    </row>
    <row r="107" spans="1:2" x14ac:dyDescent="0.25">
      <c r="A107">
        <v>4.7680549797815299</v>
      </c>
      <c r="B107">
        <v>0</v>
      </c>
    </row>
    <row r="108" spans="1:2" x14ac:dyDescent="0.25">
      <c r="A108">
        <v>5.484085470697786E-2</v>
      </c>
      <c r="B108">
        <v>0</v>
      </c>
    </row>
    <row r="109" spans="1:2" x14ac:dyDescent="0.25">
      <c r="A109">
        <v>1.1990743324202375</v>
      </c>
      <c r="B109">
        <v>0</v>
      </c>
    </row>
    <row r="110" spans="1:2" x14ac:dyDescent="0.25">
      <c r="A110">
        <v>1.1809183015506208</v>
      </c>
      <c r="B110">
        <v>0</v>
      </c>
    </row>
    <row r="111" spans="1:2" x14ac:dyDescent="0.25">
      <c r="A111">
        <v>0.47638178316005664</v>
      </c>
      <c r="B111">
        <v>0</v>
      </c>
    </row>
    <row r="112" spans="1:2" x14ac:dyDescent="0.25">
      <c r="A112">
        <v>2.8575614536888798</v>
      </c>
      <c r="B112">
        <v>0</v>
      </c>
    </row>
    <row r="113" spans="1:2" x14ac:dyDescent="0.25">
      <c r="A113">
        <v>3.4110798388891475</v>
      </c>
      <c r="B113">
        <v>0</v>
      </c>
    </row>
    <row r="114" spans="1:2" x14ac:dyDescent="0.25">
      <c r="A114">
        <v>0.96188686924722411</v>
      </c>
      <c r="B114">
        <v>0</v>
      </c>
    </row>
    <row r="115" spans="1:2" x14ac:dyDescent="0.25">
      <c r="A115">
        <v>0.59831316253181888</v>
      </c>
      <c r="B115">
        <v>0</v>
      </c>
    </row>
    <row r="116" spans="1:2" x14ac:dyDescent="0.25">
      <c r="A116">
        <v>4.48563264024639</v>
      </c>
      <c r="B116">
        <v>0</v>
      </c>
    </row>
    <row r="117" spans="1:2" x14ac:dyDescent="0.25">
      <c r="A117">
        <v>0.32253865975357943</v>
      </c>
      <c r="B117">
        <v>0</v>
      </c>
    </row>
    <row r="118" spans="1:2" x14ac:dyDescent="0.25">
      <c r="A118">
        <v>0.1632544378015795</v>
      </c>
      <c r="B118">
        <v>0</v>
      </c>
    </row>
    <row r="119" spans="1:2" x14ac:dyDescent="0.25">
      <c r="A119">
        <v>1.8185345948900405E-2</v>
      </c>
      <c r="B119">
        <v>0</v>
      </c>
    </row>
    <row r="120" spans="1:2" x14ac:dyDescent="0.25">
      <c r="A120">
        <v>0.13358509756664996</v>
      </c>
      <c r="B120">
        <v>0</v>
      </c>
    </row>
    <row r="121" spans="1:2" x14ac:dyDescent="0.25">
      <c r="A121">
        <v>0.10692287219178176</v>
      </c>
      <c r="B121">
        <v>0</v>
      </c>
    </row>
    <row r="122" spans="1:2" x14ac:dyDescent="0.25">
      <c r="A122">
        <v>1.646524855572681</v>
      </c>
      <c r="B122">
        <v>1</v>
      </c>
    </row>
    <row r="123" spans="1:2" x14ac:dyDescent="0.25">
      <c r="A123">
        <v>1.8026863411641771</v>
      </c>
      <c r="B123">
        <v>0</v>
      </c>
    </row>
    <row r="124" spans="1:2" x14ac:dyDescent="0.25">
      <c r="A124">
        <v>7.2734382737937309E-3</v>
      </c>
      <c r="B124">
        <v>0</v>
      </c>
    </row>
    <row r="125" spans="1:2" x14ac:dyDescent="0.25">
      <c r="A125">
        <v>3.4654670391277523E-2</v>
      </c>
      <c r="B125">
        <v>0</v>
      </c>
    </row>
    <row r="126" spans="1:2" x14ac:dyDescent="0.25">
      <c r="A126">
        <v>0.26338183190408626</v>
      </c>
      <c r="B126">
        <v>0</v>
      </c>
    </row>
    <row r="127" spans="1:2" x14ac:dyDescent="0.25">
      <c r="A127">
        <v>5.6206747247505175</v>
      </c>
      <c r="B127">
        <v>1</v>
      </c>
    </row>
    <row r="128" spans="1:2" x14ac:dyDescent="0.25">
      <c r="A128">
        <v>0.74938969671029354</v>
      </c>
      <c r="B128">
        <v>0</v>
      </c>
    </row>
    <row r="129" spans="1:2" x14ac:dyDescent="0.25">
      <c r="A129">
        <v>5.6437353995590325</v>
      </c>
      <c r="B129">
        <v>0</v>
      </c>
    </row>
    <row r="130" spans="1:2" x14ac:dyDescent="0.25">
      <c r="A130">
        <v>0.42890274787210403</v>
      </c>
      <c r="B130">
        <v>0</v>
      </c>
    </row>
    <row r="131" spans="1:2" x14ac:dyDescent="0.25">
      <c r="A131">
        <v>2.7604354625859435</v>
      </c>
      <c r="B131">
        <v>0</v>
      </c>
    </row>
    <row r="132" spans="1:2" x14ac:dyDescent="0.25">
      <c r="A132">
        <v>2.5998262850419533</v>
      </c>
      <c r="B132">
        <v>0</v>
      </c>
    </row>
    <row r="133" spans="1:2" x14ac:dyDescent="0.25">
      <c r="A133">
        <v>0.29046534593159479</v>
      </c>
      <c r="B133">
        <v>0</v>
      </c>
    </row>
    <row r="134" spans="1:2" x14ac:dyDescent="0.25">
      <c r="A134">
        <v>0.81394942926578606</v>
      </c>
      <c r="B134">
        <v>0</v>
      </c>
    </row>
    <row r="135" spans="1:2" x14ac:dyDescent="0.25">
      <c r="A135">
        <v>3.6822370278426404</v>
      </c>
      <c r="B135">
        <v>0</v>
      </c>
    </row>
    <row r="136" spans="1:2" x14ac:dyDescent="0.25">
      <c r="A136">
        <v>7.1431349352789539E-3</v>
      </c>
      <c r="B136">
        <v>0</v>
      </c>
    </row>
    <row r="137" spans="1:2" x14ac:dyDescent="0.25">
      <c r="A137">
        <v>0.27436125626574287</v>
      </c>
      <c r="B137">
        <v>0</v>
      </c>
    </row>
    <row r="138" spans="1:2" x14ac:dyDescent="0.25">
      <c r="A138">
        <v>0.45581183317096047</v>
      </c>
      <c r="B138">
        <v>0</v>
      </c>
    </row>
    <row r="139" spans="1:2" x14ac:dyDescent="0.25">
      <c r="A139">
        <v>0.145407873707285</v>
      </c>
      <c r="B139">
        <v>0</v>
      </c>
    </row>
    <row r="140" spans="1:2" x14ac:dyDescent="0.25">
      <c r="A140">
        <v>0.57397497327622893</v>
      </c>
      <c r="B140">
        <v>0</v>
      </c>
    </row>
    <row r="141" spans="1:2" x14ac:dyDescent="0.25">
      <c r="A141">
        <v>2.0856750423311814</v>
      </c>
      <c r="B141">
        <v>0</v>
      </c>
    </row>
    <row r="142" spans="1:2" x14ac:dyDescent="0.25">
      <c r="A142">
        <v>0.7178114080091974</v>
      </c>
      <c r="B142">
        <v>0</v>
      </c>
    </row>
    <row r="143" spans="1:2" x14ac:dyDescent="0.25">
      <c r="A143">
        <v>6.8844107382684996</v>
      </c>
      <c r="B143">
        <v>1</v>
      </c>
    </row>
    <row r="144" spans="1:2" x14ac:dyDescent="0.25">
      <c r="A144">
        <v>0.13167972970169131</v>
      </c>
      <c r="B144">
        <v>0</v>
      </c>
    </row>
    <row r="145" spans="1:2" x14ac:dyDescent="0.25">
      <c r="A145">
        <v>1.0548979564097877E-3</v>
      </c>
      <c r="B145">
        <v>0</v>
      </c>
    </row>
    <row r="146" spans="1:2" x14ac:dyDescent="0.25">
      <c r="A146">
        <v>7.9056730321523086E-4</v>
      </c>
      <c r="B146">
        <v>0</v>
      </c>
    </row>
    <row r="147" spans="1:2" x14ac:dyDescent="0.25">
      <c r="A147">
        <v>0.10414561990257987</v>
      </c>
      <c r="B147">
        <v>0</v>
      </c>
    </row>
    <row r="148" spans="1:2" x14ac:dyDescent="0.25">
      <c r="A148">
        <v>4.815837167127329</v>
      </c>
      <c r="B148">
        <v>0</v>
      </c>
    </row>
    <row r="149" spans="1:2" x14ac:dyDescent="0.25">
      <c r="A149">
        <v>3.036245991974992</v>
      </c>
      <c r="B149">
        <v>0</v>
      </c>
    </row>
    <row r="150" spans="1:2" x14ac:dyDescent="0.25">
      <c r="A150">
        <v>0.54239833791789183</v>
      </c>
      <c r="B150">
        <v>0</v>
      </c>
    </row>
    <row r="151" spans="1:2" x14ac:dyDescent="0.25">
      <c r="A151">
        <v>6.6439224939048565</v>
      </c>
      <c r="B151">
        <v>0</v>
      </c>
    </row>
    <row r="152" spans="1:2" x14ac:dyDescent="0.25">
      <c r="A152">
        <v>2.0957484336860639</v>
      </c>
      <c r="B152">
        <v>0</v>
      </c>
    </row>
    <row r="153" spans="1:2" x14ac:dyDescent="0.25">
      <c r="A153">
        <v>15.026122250756154</v>
      </c>
      <c r="B153">
        <v>1</v>
      </c>
    </row>
    <row r="154" spans="1:2" x14ac:dyDescent="0.25">
      <c r="A154">
        <v>0.42716674544694572</v>
      </c>
      <c r="B154">
        <v>0</v>
      </c>
    </row>
    <row r="155" spans="1:2" x14ac:dyDescent="0.25">
      <c r="A155">
        <v>0.57413001853683043</v>
      </c>
      <c r="B155">
        <v>0</v>
      </c>
    </row>
    <row r="156" spans="1:2" x14ac:dyDescent="0.25">
      <c r="A156">
        <v>0.21781986103079626</v>
      </c>
      <c r="B156">
        <v>0</v>
      </c>
    </row>
    <row r="157" spans="1:2" x14ac:dyDescent="0.25">
      <c r="A157">
        <v>0.7649404808816439</v>
      </c>
      <c r="B157">
        <v>0</v>
      </c>
    </row>
    <row r="158" spans="1:2" x14ac:dyDescent="0.25">
      <c r="A158">
        <v>0.35490825298261169</v>
      </c>
      <c r="B158">
        <v>0</v>
      </c>
    </row>
    <row r="159" spans="1:2" x14ac:dyDescent="0.25">
      <c r="A159">
        <v>1.8819723562114483</v>
      </c>
      <c r="B159">
        <v>0</v>
      </c>
    </row>
    <row r="160" spans="1:2" x14ac:dyDescent="0.25">
      <c r="A160">
        <v>1.244872493116234</v>
      </c>
      <c r="B160">
        <v>0</v>
      </c>
    </row>
    <row r="161" spans="1:2" x14ac:dyDescent="0.25">
      <c r="A161">
        <v>0.48162833780041647</v>
      </c>
      <c r="B161">
        <v>0</v>
      </c>
    </row>
    <row r="162" spans="1:2" x14ac:dyDescent="0.25">
      <c r="A162">
        <v>9.8085731059050332</v>
      </c>
      <c r="B162">
        <v>1</v>
      </c>
    </row>
    <row r="163" spans="1:2" x14ac:dyDescent="0.25">
      <c r="A163">
        <v>0.88329493760555644</v>
      </c>
      <c r="B163">
        <v>0</v>
      </c>
    </row>
    <row r="164" spans="1:2" x14ac:dyDescent="0.25">
      <c r="A164">
        <v>5.8055882740078328E-2</v>
      </c>
      <c r="B164">
        <v>0</v>
      </c>
    </row>
    <row r="165" spans="1:2" x14ac:dyDescent="0.25">
      <c r="A165">
        <v>1.7301632809585906E-2</v>
      </c>
      <c r="B165">
        <v>0</v>
      </c>
    </row>
    <row r="166" spans="1:2" x14ac:dyDescent="0.25">
      <c r="A166">
        <v>0.31113821619336707</v>
      </c>
      <c r="B166">
        <v>0</v>
      </c>
    </row>
    <row r="167" spans="1:2" x14ac:dyDescent="0.25">
      <c r="A167">
        <v>1.9241849850620073E-2</v>
      </c>
      <c r="B167">
        <v>0</v>
      </c>
    </row>
    <row r="168" spans="1:2" x14ac:dyDescent="0.25">
      <c r="A168">
        <v>0.82985042082735083</v>
      </c>
      <c r="B168">
        <v>0</v>
      </c>
    </row>
    <row r="169" spans="1:2" x14ac:dyDescent="0.25">
      <c r="A169">
        <v>3.5526441229198706</v>
      </c>
      <c r="B169">
        <v>0</v>
      </c>
    </row>
    <row r="170" spans="1:2" x14ac:dyDescent="0.25">
      <c r="A170">
        <v>0.23736200992999917</v>
      </c>
      <c r="B170">
        <v>0</v>
      </c>
    </row>
    <row r="171" spans="1:2" x14ac:dyDescent="0.25">
      <c r="A171">
        <v>5.2184572898451628E-3</v>
      </c>
      <c r="B171">
        <v>0</v>
      </c>
    </row>
    <row r="172" spans="1:2" x14ac:dyDescent="0.25">
      <c r="A172">
        <v>0.68863634384563011</v>
      </c>
      <c r="B172">
        <v>0</v>
      </c>
    </row>
    <row r="173" spans="1:2" x14ac:dyDescent="0.25">
      <c r="A173">
        <v>0.74305729150743316</v>
      </c>
      <c r="B173">
        <v>0</v>
      </c>
    </row>
    <row r="174" spans="1:2" x14ac:dyDescent="0.25">
      <c r="A174">
        <v>0.40517230916219832</v>
      </c>
      <c r="B174">
        <v>0</v>
      </c>
    </row>
    <row r="175" spans="1:2" x14ac:dyDescent="0.25">
      <c r="A175">
        <v>5.3211469075212108</v>
      </c>
      <c r="B175">
        <v>1</v>
      </c>
    </row>
    <row r="176" spans="1:2" x14ac:dyDescent="0.25">
      <c r="A176">
        <v>1.234740536603671</v>
      </c>
      <c r="B176">
        <v>0</v>
      </c>
    </row>
    <row r="177" spans="1:2" x14ac:dyDescent="0.25">
      <c r="A177">
        <v>1.4428303836343117</v>
      </c>
      <c r="B177">
        <v>0</v>
      </c>
    </row>
    <row r="178" spans="1:2" x14ac:dyDescent="0.25">
      <c r="A178">
        <v>2.4301446066695034</v>
      </c>
      <c r="B178">
        <v>0</v>
      </c>
    </row>
    <row r="179" spans="1:2" x14ac:dyDescent="0.25">
      <c r="A179">
        <v>0.50598311507234672</v>
      </c>
      <c r="B179">
        <v>0</v>
      </c>
    </row>
    <row r="180" spans="1:2" x14ac:dyDescent="0.25">
      <c r="A180">
        <v>0.40756242958071875</v>
      </c>
      <c r="B180">
        <v>0</v>
      </c>
    </row>
    <row r="181" spans="1:2" x14ac:dyDescent="0.25">
      <c r="A181">
        <v>4.8650611451700589</v>
      </c>
      <c r="B181">
        <v>0</v>
      </c>
    </row>
    <row r="182" spans="1:2" x14ac:dyDescent="0.25">
      <c r="A182">
        <v>2.3745644472752576</v>
      </c>
      <c r="B182">
        <v>1</v>
      </c>
    </row>
    <row r="183" spans="1:2" x14ac:dyDescent="0.25">
      <c r="A183">
        <v>1.7001653814966449</v>
      </c>
      <c r="B183">
        <v>0</v>
      </c>
    </row>
    <row r="184" spans="1:2" x14ac:dyDescent="0.25">
      <c r="A184">
        <v>1.2760047185095153E-2</v>
      </c>
      <c r="B184">
        <v>0</v>
      </c>
    </row>
    <row r="185" spans="1:2" x14ac:dyDescent="0.25">
      <c r="A185">
        <v>14.042534275623778</v>
      </c>
      <c r="B185">
        <v>1</v>
      </c>
    </row>
    <row r="186" spans="1:2" x14ac:dyDescent="0.25">
      <c r="A186">
        <v>0.20584498938018103</v>
      </c>
      <c r="B186">
        <v>0</v>
      </c>
    </row>
    <row r="187" spans="1:2" x14ac:dyDescent="0.25">
      <c r="A187">
        <v>6.5100180366184672E-4</v>
      </c>
      <c r="B187">
        <v>0</v>
      </c>
    </row>
    <row r="188" spans="1:2" x14ac:dyDescent="0.25">
      <c r="A188">
        <v>1.1123394975424656</v>
      </c>
      <c r="B188">
        <v>0</v>
      </c>
    </row>
    <row r="189" spans="1:2" x14ac:dyDescent="0.25">
      <c r="A189">
        <v>3.1499368733921935</v>
      </c>
      <c r="B189">
        <v>0</v>
      </c>
    </row>
    <row r="190" spans="1:2" x14ac:dyDescent="0.25">
      <c r="A190">
        <v>0.68613289925796739</v>
      </c>
      <c r="B190">
        <v>0</v>
      </c>
    </row>
    <row r="191" spans="1:2" x14ac:dyDescent="0.25">
      <c r="A191">
        <v>0.19733540390099974</v>
      </c>
      <c r="B191">
        <v>0</v>
      </c>
    </row>
    <row r="192" spans="1:2" x14ac:dyDescent="0.25">
      <c r="A192">
        <v>0.38180801380529505</v>
      </c>
      <c r="B192">
        <v>0</v>
      </c>
    </row>
    <row r="193" spans="1:2" x14ac:dyDescent="0.25">
      <c r="A193">
        <v>4.5570801053470888E-2</v>
      </c>
      <c r="B193">
        <v>0</v>
      </c>
    </row>
    <row r="194" spans="1:2" x14ac:dyDescent="0.25">
      <c r="A194">
        <v>1.054587137871418</v>
      </c>
      <c r="B194">
        <v>0</v>
      </c>
    </row>
    <row r="195" spans="1:2" x14ac:dyDescent="0.25">
      <c r="A195">
        <v>1.5331273085811192</v>
      </c>
      <c r="B195">
        <v>0</v>
      </c>
    </row>
    <row r="196" spans="1:2" x14ac:dyDescent="0.25">
      <c r="A196">
        <v>9.6853637672801599E-2</v>
      </c>
      <c r="B196">
        <v>0</v>
      </c>
    </row>
    <row r="197" spans="1:2" x14ac:dyDescent="0.25">
      <c r="A197">
        <v>0.70546857584357781</v>
      </c>
      <c r="B197">
        <v>0</v>
      </c>
    </row>
    <row r="198" spans="1:2" x14ac:dyDescent="0.25">
      <c r="A198">
        <v>0.67425151516727211</v>
      </c>
      <c r="B198">
        <v>0</v>
      </c>
    </row>
    <row r="199" spans="1:2" x14ac:dyDescent="0.25">
      <c r="A199">
        <v>0.18403476639879496</v>
      </c>
      <c r="B199">
        <v>0</v>
      </c>
    </row>
    <row r="200" spans="1:2" x14ac:dyDescent="0.25">
      <c r="A200">
        <v>0.20553665723945769</v>
      </c>
      <c r="B200">
        <v>0</v>
      </c>
    </row>
    <row r="201" spans="1:2" x14ac:dyDescent="0.25">
      <c r="A201">
        <v>9.0139349378193914E-2</v>
      </c>
      <c r="B201">
        <v>0</v>
      </c>
    </row>
    <row r="202" spans="1:2" x14ac:dyDescent="0.25">
      <c r="A202">
        <v>1.6324742781863637</v>
      </c>
      <c r="B202">
        <v>0</v>
      </c>
    </row>
    <row r="203" spans="1:2" x14ac:dyDescent="0.25">
      <c r="A203">
        <v>5.9661632371334705E-2</v>
      </c>
      <c r="B203">
        <v>0</v>
      </c>
    </row>
    <row r="204" spans="1:2" x14ac:dyDescent="0.25">
      <c r="A204">
        <v>4.332742394567239</v>
      </c>
      <c r="B204">
        <v>1</v>
      </c>
    </row>
    <row r="205" spans="1:2" x14ac:dyDescent="0.25">
      <c r="A205">
        <v>1.4360432475115879</v>
      </c>
      <c r="B205">
        <v>0</v>
      </c>
    </row>
    <row r="206" spans="1:2" x14ac:dyDescent="0.25">
      <c r="A206">
        <v>3.0037503551355682</v>
      </c>
      <c r="B206">
        <v>0</v>
      </c>
    </row>
    <row r="207" spans="1:2" x14ac:dyDescent="0.25">
      <c r="A207">
        <v>4.7680549797815299</v>
      </c>
      <c r="B207">
        <v>0</v>
      </c>
    </row>
    <row r="208" spans="1:2" x14ac:dyDescent="0.25">
      <c r="A208">
        <v>5.484085470697786E-2</v>
      </c>
      <c r="B208">
        <v>0</v>
      </c>
    </row>
    <row r="209" spans="1:2" x14ac:dyDescent="0.25">
      <c r="A209">
        <v>1.1990743324202375</v>
      </c>
      <c r="B209">
        <v>0</v>
      </c>
    </row>
    <row r="210" spans="1:2" x14ac:dyDescent="0.25">
      <c r="A210">
        <v>1.1809183015506208</v>
      </c>
      <c r="B210">
        <v>0</v>
      </c>
    </row>
    <row r="211" spans="1:2" x14ac:dyDescent="0.25">
      <c r="A211">
        <v>0.47638178316005664</v>
      </c>
      <c r="B211">
        <v>0</v>
      </c>
    </row>
    <row r="212" spans="1:2" x14ac:dyDescent="0.25">
      <c r="A212">
        <v>2.8575614536888798</v>
      </c>
      <c r="B212">
        <v>0</v>
      </c>
    </row>
    <row r="213" spans="1:2" x14ac:dyDescent="0.25">
      <c r="A213">
        <v>3.4110798388891475</v>
      </c>
      <c r="B213">
        <v>0</v>
      </c>
    </row>
    <row r="214" spans="1:2" x14ac:dyDescent="0.25">
      <c r="A214">
        <v>0.96188686924722411</v>
      </c>
      <c r="B214">
        <v>0</v>
      </c>
    </row>
    <row r="215" spans="1:2" x14ac:dyDescent="0.25">
      <c r="A215">
        <v>0.59831316253181888</v>
      </c>
      <c r="B215">
        <v>0</v>
      </c>
    </row>
    <row r="216" spans="1:2" x14ac:dyDescent="0.25">
      <c r="A216">
        <v>4.48563264024639</v>
      </c>
      <c r="B216">
        <v>0</v>
      </c>
    </row>
    <row r="217" spans="1:2" x14ac:dyDescent="0.25">
      <c r="A217">
        <v>0.32253865975357943</v>
      </c>
      <c r="B217">
        <v>0</v>
      </c>
    </row>
    <row r="218" spans="1:2" x14ac:dyDescent="0.25">
      <c r="A218">
        <v>0.1632544378015795</v>
      </c>
      <c r="B218">
        <v>0</v>
      </c>
    </row>
    <row r="219" spans="1:2" x14ac:dyDescent="0.25">
      <c r="A219">
        <v>1.8185345948900405E-2</v>
      </c>
      <c r="B219">
        <v>0</v>
      </c>
    </row>
    <row r="220" spans="1:2" x14ac:dyDescent="0.25">
      <c r="A220">
        <v>0.13358509756664996</v>
      </c>
      <c r="B220">
        <v>0</v>
      </c>
    </row>
    <row r="221" spans="1:2" x14ac:dyDescent="0.25">
      <c r="A221">
        <v>0.10692287219178176</v>
      </c>
      <c r="B221">
        <v>0</v>
      </c>
    </row>
    <row r="222" spans="1:2" x14ac:dyDescent="0.25">
      <c r="A222">
        <v>1.646524855572681</v>
      </c>
      <c r="B222">
        <v>0</v>
      </c>
    </row>
    <row r="223" spans="1:2" x14ac:dyDescent="0.25">
      <c r="A223">
        <v>1.8026863411641771</v>
      </c>
      <c r="B223">
        <v>0</v>
      </c>
    </row>
    <row r="224" spans="1:2" x14ac:dyDescent="0.25">
      <c r="A224">
        <v>7.2734382737937309E-3</v>
      </c>
      <c r="B224">
        <v>0</v>
      </c>
    </row>
    <row r="225" spans="1:2" x14ac:dyDescent="0.25">
      <c r="A225">
        <v>3.4654670391277523E-2</v>
      </c>
      <c r="B225">
        <v>0</v>
      </c>
    </row>
    <row r="226" spans="1:2" x14ac:dyDescent="0.25">
      <c r="A226">
        <v>0.26338183190408626</v>
      </c>
      <c r="B226">
        <v>0</v>
      </c>
    </row>
    <row r="227" spans="1:2" x14ac:dyDescent="0.25">
      <c r="A227">
        <v>5.6206747247505175</v>
      </c>
      <c r="B227">
        <v>1</v>
      </c>
    </row>
    <row r="228" spans="1:2" x14ac:dyDescent="0.25">
      <c r="A228">
        <v>0.74938969671029354</v>
      </c>
      <c r="B228">
        <v>0</v>
      </c>
    </row>
    <row r="229" spans="1:2" x14ac:dyDescent="0.25">
      <c r="A229">
        <v>5.6437353995590325</v>
      </c>
      <c r="B229">
        <v>0</v>
      </c>
    </row>
    <row r="230" spans="1:2" x14ac:dyDescent="0.25">
      <c r="A230">
        <v>0.42890274787210403</v>
      </c>
      <c r="B230">
        <v>0</v>
      </c>
    </row>
    <row r="231" spans="1:2" x14ac:dyDescent="0.25">
      <c r="A231">
        <v>2.7604354625859435</v>
      </c>
      <c r="B231">
        <v>0</v>
      </c>
    </row>
    <row r="232" spans="1:2" x14ac:dyDescent="0.25">
      <c r="A232">
        <v>2.5998262850419533</v>
      </c>
      <c r="B232">
        <v>0</v>
      </c>
    </row>
    <row r="233" spans="1:2" x14ac:dyDescent="0.25">
      <c r="A233">
        <v>0.29046534593159479</v>
      </c>
      <c r="B233">
        <v>0</v>
      </c>
    </row>
    <row r="234" spans="1:2" x14ac:dyDescent="0.25">
      <c r="A234">
        <v>0.81394942926578606</v>
      </c>
      <c r="B234">
        <v>0</v>
      </c>
    </row>
    <row r="235" spans="1:2" x14ac:dyDescent="0.25">
      <c r="A235">
        <v>3.6822370278426404</v>
      </c>
      <c r="B235">
        <v>0</v>
      </c>
    </row>
    <row r="236" spans="1:2" x14ac:dyDescent="0.25">
      <c r="A236">
        <v>7.1431349352789539E-3</v>
      </c>
      <c r="B236">
        <v>0</v>
      </c>
    </row>
    <row r="237" spans="1:2" x14ac:dyDescent="0.25">
      <c r="A237">
        <v>0.27436125626574287</v>
      </c>
      <c r="B237">
        <v>0</v>
      </c>
    </row>
    <row r="238" spans="1:2" x14ac:dyDescent="0.25">
      <c r="A238">
        <v>0.45581183317096047</v>
      </c>
      <c r="B238">
        <v>0</v>
      </c>
    </row>
    <row r="239" spans="1:2" x14ac:dyDescent="0.25">
      <c r="A239">
        <v>0.145407873707285</v>
      </c>
      <c r="B239">
        <v>0</v>
      </c>
    </row>
    <row r="240" spans="1:2" x14ac:dyDescent="0.25">
      <c r="A240">
        <v>0.57397497327622893</v>
      </c>
      <c r="B240">
        <v>0</v>
      </c>
    </row>
    <row r="241" spans="1:2" x14ac:dyDescent="0.25">
      <c r="A241">
        <v>2.0856750423311814</v>
      </c>
      <c r="B241">
        <v>0</v>
      </c>
    </row>
    <row r="242" spans="1:2" x14ac:dyDescent="0.25">
      <c r="A242">
        <v>0.7178114080091974</v>
      </c>
      <c r="B242">
        <v>0</v>
      </c>
    </row>
    <row r="243" spans="1:2" x14ac:dyDescent="0.25">
      <c r="A243">
        <v>6.8844107382684996</v>
      </c>
      <c r="B243">
        <v>1</v>
      </c>
    </row>
    <row r="244" spans="1:2" x14ac:dyDescent="0.25">
      <c r="A244">
        <v>0.13167972970169131</v>
      </c>
      <c r="B244">
        <v>0</v>
      </c>
    </row>
    <row r="245" spans="1:2" x14ac:dyDescent="0.25">
      <c r="A245">
        <v>1.0548979564097877E-3</v>
      </c>
      <c r="B245">
        <v>0</v>
      </c>
    </row>
    <row r="246" spans="1:2" x14ac:dyDescent="0.25">
      <c r="A246">
        <v>7.9056730321523086E-4</v>
      </c>
      <c r="B246">
        <v>0</v>
      </c>
    </row>
    <row r="247" spans="1:2" x14ac:dyDescent="0.25">
      <c r="A247">
        <v>0.10414561990257987</v>
      </c>
      <c r="B247">
        <v>0</v>
      </c>
    </row>
    <row r="248" spans="1:2" x14ac:dyDescent="0.25">
      <c r="A248">
        <v>4.815837167127329</v>
      </c>
      <c r="B248">
        <v>0</v>
      </c>
    </row>
    <row r="249" spans="1:2" x14ac:dyDescent="0.25">
      <c r="A249">
        <v>3.036245991974992</v>
      </c>
      <c r="B249">
        <v>0</v>
      </c>
    </row>
    <row r="250" spans="1:2" x14ac:dyDescent="0.25">
      <c r="A250">
        <v>0.54239833791789183</v>
      </c>
      <c r="B250">
        <v>0</v>
      </c>
    </row>
    <row r="251" spans="1:2" x14ac:dyDescent="0.25">
      <c r="A251">
        <v>6.6439224939048565</v>
      </c>
      <c r="B251">
        <v>0</v>
      </c>
    </row>
    <row r="252" spans="1:2" x14ac:dyDescent="0.25">
      <c r="A252">
        <v>2.0957484336860639</v>
      </c>
      <c r="B252">
        <v>0</v>
      </c>
    </row>
    <row r="253" spans="1:2" x14ac:dyDescent="0.25">
      <c r="A253">
        <v>15.026122250756154</v>
      </c>
      <c r="B253">
        <v>1</v>
      </c>
    </row>
    <row r="254" spans="1:2" x14ac:dyDescent="0.25">
      <c r="A254">
        <v>0.42716674544694572</v>
      </c>
      <c r="B254">
        <v>0</v>
      </c>
    </row>
    <row r="255" spans="1:2" x14ac:dyDescent="0.25">
      <c r="A255">
        <v>0.57413001853683043</v>
      </c>
      <c r="B255">
        <v>0</v>
      </c>
    </row>
    <row r="256" spans="1:2" x14ac:dyDescent="0.25">
      <c r="A256">
        <v>0.21781986103079626</v>
      </c>
      <c r="B256">
        <v>0</v>
      </c>
    </row>
    <row r="257" spans="1:2" x14ac:dyDescent="0.25">
      <c r="A257">
        <v>0.7649404808816439</v>
      </c>
      <c r="B257">
        <v>0</v>
      </c>
    </row>
    <row r="258" spans="1:2" x14ac:dyDescent="0.25">
      <c r="A258">
        <v>0.35490825298261169</v>
      </c>
      <c r="B258">
        <v>0</v>
      </c>
    </row>
    <row r="259" spans="1:2" x14ac:dyDescent="0.25">
      <c r="A259">
        <v>1.8819723562114483</v>
      </c>
      <c r="B259">
        <v>0</v>
      </c>
    </row>
    <row r="260" spans="1:2" x14ac:dyDescent="0.25">
      <c r="A260">
        <v>1.244872493116234</v>
      </c>
      <c r="B260">
        <v>0</v>
      </c>
    </row>
    <row r="261" spans="1:2" x14ac:dyDescent="0.25">
      <c r="A261">
        <v>0.48162833780041647</v>
      </c>
      <c r="B261">
        <v>0</v>
      </c>
    </row>
    <row r="262" spans="1:2" x14ac:dyDescent="0.25">
      <c r="A262">
        <v>9.8085731059050332</v>
      </c>
      <c r="B262">
        <v>1</v>
      </c>
    </row>
    <row r="263" spans="1:2" x14ac:dyDescent="0.25">
      <c r="A263">
        <v>0.88329493760555644</v>
      </c>
      <c r="B263">
        <v>0</v>
      </c>
    </row>
    <row r="264" spans="1:2" x14ac:dyDescent="0.25">
      <c r="A264">
        <v>5.8055882740078328E-2</v>
      </c>
      <c r="B264">
        <v>0</v>
      </c>
    </row>
    <row r="265" spans="1:2" x14ac:dyDescent="0.25">
      <c r="A265">
        <v>1.7301632809585906E-2</v>
      </c>
      <c r="B265">
        <v>0</v>
      </c>
    </row>
    <row r="266" spans="1:2" x14ac:dyDescent="0.25">
      <c r="A266">
        <v>0.31113821619336707</v>
      </c>
      <c r="B266">
        <v>0</v>
      </c>
    </row>
    <row r="267" spans="1:2" x14ac:dyDescent="0.25">
      <c r="A267">
        <v>1.9241849850620073E-2</v>
      </c>
      <c r="B267">
        <v>0</v>
      </c>
    </row>
    <row r="268" spans="1:2" x14ac:dyDescent="0.25">
      <c r="A268">
        <v>0.82985042082735083</v>
      </c>
      <c r="B268">
        <v>0</v>
      </c>
    </row>
    <row r="269" spans="1:2" x14ac:dyDescent="0.25">
      <c r="A269">
        <v>3.5526441229198706</v>
      </c>
      <c r="B269">
        <v>0</v>
      </c>
    </row>
    <row r="270" spans="1:2" x14ac:dyDescent="0.25">
      <c r="A270">
        <v>0.23736200992999917</v>
      </c>
      <c r="B270">
        <v>0</v>
      </c>
    </row>
    <row r="271" spans="1:2" x14ac:dyDescent="0.25">
      <c r="A271">
        <v>5.2184572898451628E-3</v>
      </c>
      <c r="B271">
        <v>0</v>
      </c>
    </row>
    <row r="272" spans="1:2" x14ac:dyDescent="0.25">
      <c r="A272">
        <v>0.68863634384563011</v>
      </c>
      <c r="B272">
        <v>0</v>
      </c>
    </row>
    <row r="273" spans="1:2" x14ac:dyDescent="0.25">
      <c r="A273">
        <v>0.74305729150743316</v>
      </c>
      <c r="B273">
        <v>0</v>
      </c>
    </row>
    <row r="274" spans="1:2" x14ac:dyDescent="0.25">
      <c r="A274">
        <v>0.40517230916219832</v>
      </c>
      <c r="B274">
        <v>0</v>
      </c>
    </row>
    <row r="275" spans="1:2" x14ac:dyDescent="0.25">
      <c r="A275">
        <v>5.3211469075212108</v>
      </c>
      <c r="B275">
        <v>1</v>
      </c>
    </row>
    <row r="276" spans="1:2" x14ac:dyDescent="0.25">
      <c r="A276">
        <v>1.234740536603671</v>
      </c>
      <c r="B276">
        <v>0</v>
      </c>
    </row>
    <row r="277" spans="1:2" x14ac:dyDescent="0.25">
      <c r="A277">
        <v>1.4428303836343117</v>
      </c>
      <c r="B277">
        <v>0</v>
      </c>
    </row>
    <row r="278" spans="1:2" x14ac:dyDescent="0.25">
      <c r="A278">
        <v>2.4301446066695034</v>
      </c>
      <c r="B278">
        <v>0</v>
      </c>
    </row>
    <row r="279" spans="1:2" x14ac:dyDescent="0.25">
      <c r="A279">
        <v>0.50598311507234672</v>
      </c>
      <c r="B279">
        <v>0</v>
      </c>
    </row>
    <row r="280" spans="1:2" x14ac:dyDescent="0.25">
      <c r="A280">
        <v>0.40756242958071875</v>
      </c>
      <c r="B280">
        <v>0</v>
      </c>
    </row>
    <row r="281" spans="1:2" x14ac:dyDescent="0.25">
      <c r="A281">
        <v>4.8650611451700589</v>
      </c>
      <c r="B281">
        <v>0</v>
      </c>
    </row>
    <row r="282" spans="1:2" x14ac:dyDescent="0.25">
      <c r="A282">
        <v>2.3745644472752576</v>
      </c>
      <c r="B282">
        <v>1</v>
      </c>
    </row>
    <row r="283" spans="1:2" x14ac:dyDescent="0.25">
      <c r="A283">
        <v>1.7001653814966449</v>
      </c>
      <c r="B283">
        <v>0</v>
      </c>
    </row>
    <row r="284" spans="1:2" x14ac:dyDescent="0.25">
      <c r="A284">
        <v>1.2760047185095153E-2</v>
      </c>
      <c r="B284">
        <v>0</v>
      </c>
    </row>
    <row r="285" spans="1:2" x14ac:dyDescent="0.25">
      <c r="A285">
        <v>14.042534275623778</v>
      </c>
      <c r="B285">
        <v>1</v>
      </c>
    </row>
    <row r="286" spans="1:2" x14ac:dyDescent="0.25">
      <c r="A286">
        <v>0.20584498938018103</v>
      </c>
      <c r="B286">
        <v>0</v>
      </c>
    </row>
    <row r="287" spans="1:2" x14ac:dyDescent="0.25">
      <c r="A287">
        <v>6.5100180366184672E-4</v>
      </c>
      <c r="B287">
        <v>0</v>
      </c>
    </row>
    <row r="288" spans="1:2" x14ac:dyDescent="0.25">
      <c r="A288">
        <v>1.1123394975424656</v>
      </c>
      <c r="B288">
        <v>0</v>
      </c>
    </row>
    <row r="289" spans="1:2" x14ac:dyDescent="0.25">
      <c r="A289">
        <v>3.1499368733921935</v>
      </c>
      <c r="B289">
        <v>0</v>
      </c>
    </row>
    <row r="290" spans="1:2" x14ac:dyDescent="0.25">
      <c r="A290">
        <v>0.68613289925796739</v>
      </c>
      <c r="B290">
        <v>0</v>
      </c>
    </row>
    <row r="291" spans="1:2" x14ac:dyDescent="0.25">
      <c r="A291">
        <v>0.19733540390099974</v>
      </c>
      <c r="B291">
        <v>0</v>
      </c>
    </row>
    <row r="292" spans="1:2" x14ac:dyDescent="0.25">
      <c r="A292">
        <v>0.38180801380529505</v>
      </c>
      <c r="B292">
        <v>0</v>
      </c>
    </row>
    <row r="293" spans="1:2" x14ac:dyDescent="0.25">
      <c r="A293">
        <v>4.5570801053470888E-2</v>
      </c>
      <c r="B293">
        <v>0</v>
      </c>
    </row>
    <row r="294" spans="1:2" x14ac:dyDescent="0.25">
      <c r="A294">
        <v>1.054587137871418</v>
      </c>
      <c r="B294">
        <v>0</v>
      </c>
    </row>
    <row r="295" spans="1:2" x14ac:dyDescent="0.25">
      <c r="A295">
        <v>1.5331273085811192</v>
      </c>
      <c r="B295">
        <v>0</v>
      </c>
    </row>
    <row r="296" spans="1:2" x14ac:dyDescent="0.25">
      <c r="A296">
        <v>9.6853637672801599E-2</v>
      </c>
      <c r="B296">
        <v>0</v>
      </c>
    </row>
    <row r="297" spans="1:2" x14ac:dyDescent="0.25">
      <c r="A297">
        <v>0.70546857584357781</v>
      </c>
      <c r="B297">
        <v>0</v>
      </c>
    </row>
    <row r="298" spans="1:2" x14ac:dyDescent="0.25">
      <c r="A298">
        <v>0.67425151516727211</v>
      </c>
      <c r="B298">
        <v>0</v>
      </c>
    </row>
    <row r="299" spans="1:2" x14ac:dyDescent="0.25">
      <c r="A299">
        <v>0.18403476639879496</v>
      </c>
      <c r="B299">
        <v>0</v>
      </c>
    </row>
    <row r="300" spans="1:2" x14ac:dyDescent="0.25">
      <c r="A300">
        <v>0.20553665723945769</v>
      </c>
      <c r="B300">
        <v>0</v>
      </c>
    </row>
    <row r="301" spans="1:2" x14ac:dyDescent="0.25">
      <c r="A301">
        <v>9.0139349378193914E-2</v>
      </c>
      <c r="B301">
        <v>0</v>
      </c>
    </row>
    <row r="302" spans="1:2" x14ac:dyDescent="0.25">
      <c r="A302">
        <v>1.6324742781863637</v>
      </c>
      <c r="B302">
        <v>0</v>
      </c>
    </row>
    <row r="303" spans="1:2" x14ac:dyDescent="0.25">
      <c r="A303">
        <v>5.9661632371334705E-2</v>
      </c>
      <c r="B303">
        <v>0</v>
      </c>
    </row>
    <row r="304" spans="1:2" x14ac:dyDescent="0.25">
      <c r="A304">
        <v>4.332742394567239</v>
      </c>
      <c r="B304">
        <v>1</v>
      </c>
    </row>
    <row r="305" spans="1:2" x14ac:dyDescent="0.25">
      <c r="A305">
        <v>1.4360432475115879</v>
      </c>
      <c r="B305">
        <v>0</v>
      </c>
    </row>
    <row r="306" spans="1:2" x14ac:dyDescent="0.25">
      <c r="A306">
        <v>3.0037503551355682</v>
      </c>
      <c r="B306">
        <v>0</v>
      </c>
    </row>
    <row r="307" spans="1:2" x14ac:dyDescent="0.25">
      <c r="A307">
        <v>4.7680549797815299</v>
      </c>
      <c r="B307">
        <v>0</v>
      </c>
    </row>
    <row r="308" spans="1:2" x14ac:dyDescent="0.25">
      <c r="A308">
        <v>5.484085470697786E-2</v>
      </c>
      <c r="B308">
        <v>0</v>
      </c>
    </row>
    <row r="309" spans="1:2" x14ac:dyDescent="0.25">
      <c r="A309">
        <v>1.1990743324202375</v>
      </c>
      <c r="B309">
        <v>0</v>
      </c>
    </row>
    <row r="310" spans="1:2" x14ac:dyDescent="0.25">
      <c r="A310">
        <v>1.1809183015506208</v>
      </c>
      <c r="B310">
        <v>0</v>
      </c>
    </row>
    <row r="311" spans="1:2" x14ac:dyDescent="0.25">
      <c r="A311">
        <v>0.47638178316005664</v>
      </c>
      <c r="B311">
        <v>0</v>
      </c>
    </row>
    <row r="312" spans="1:2" x14ac:dyDescent="0.25">
      <c r="A312">
        <v>2.8575614536888798</v>
      </c>
      <c r="B312">
        <v>0</v>
      </c>
    </row>
    <row r="313" spans="1:2" x14ac:dyDescent="0.25">
      <c r="A313">
        <v>3.4110798388891475</v>
      </c>
      <c r="B313">
        <v>0</v>
      </c>
    </row>
    <row r="314" spans="1:2" x14ac:dyDescent="0.25">
      <c r="A314">
        <v>0.96188686924722411</v>
      </c>
      <c r="B314">
        <v>0</v>
      </c>
    </row>
    <row r="315" spans="1:2" x14ac:dyDescent="0.25">
      <c r="A315">
        <v>0.59831316253181888</v>
      </c>
      <c r="B315">
        <v>0</v>
      </c>
    </row>
    <row r="316" spans="1:2" x14ac:dyDescent="0.25">
      <c r="A316">
        <v>4.48563264024639</v>
      </c>
      <c r="B316">
        <v>0</v>
      </c>
    </row>
    <row r="317" spans="1:2" x14ac:dyDescent="0.25">
      <c r="A317">
        <v>0.32253865975357943</v>
      </c>
      <c r="B317">
        <v>0</v>
      </c>
    </row>
    <row r="318" spans="1:2" x14ac:dyDescent="0.25">
      <c r="A318">
        <v>0.1632544378015795</v>
      </c>
      <c r="B318">
        <v>0</v>
      </c>
    </row>
    <row r="319" spans="1:2" x14ac:dyDescent="0.25">
      <c r="A319">
        <v>1.8185345948900405E-2</v>
      </c>
      <c r="B319">
        <v>0</v>
      </c>
    </row>
    <row r="320" spans="1:2" x14ac:dyDescent="0.25">
      <c r="A320">
        <v>0.13358509756664996</v>
      </c>
      <c r="B320">
        <v>0</v>
      </c>
    </row>
    <row r="321" spans="1:2" x14ac:dyDescent="0.25">
      <c r="A321">
        <v>0.10692287219178176</v>
      </c>
      <c r="B321">
        <v>0</v>
      </c>
    </row>
    <row r="322" spans="1:2" x14ac:dyDescent="0.25">
      <c r="A322">
        <v>1.646524855572681</v>
      </c>
      <c r="B322">
        <v>0</v>
      </c>
    </row>
    <row r="323" spans="1:2" x14ac:dyDescent="0.25">
      <c r="A323">
        <v>1.8026863411641771</v>
      </c>
      <c r="B323">
        <v>0</v>
      </c>
    </row>
    <row r="324" spans="1:2" x14ac:dyDescent="0.25">
      <c r="A324">
        <v>7.2734382737937309E-3</v>
      </c>
      <c r="B324">
        <v>0</v>
      </c>
    </row>
    <row r="325" spans="1:2" x14ac:dyDescent="0.25">
      <c r="A325">
        <v>3.4654670391277523E-2</v>
      </c>
      <c r="B325">
        <v>0</v>
      </c>
    </row>
    <row r="326" spans="1:2" x14ac:dyDescent="0.25">
      <c r="A326">
        <v>0.26338183190408626</v>
      </c>
      <c r="B326">
        <v>0</v>
      </c>
    </row>
    <row r="327" spans="1:2" x14ac:dyDescent="0.25">
      <c r="A327">
        <v>5.6206747247505175</v>
      </c>
      <c r="B327">
        <v>1</v>
      </c>
    </row>
    <row r="328" spans="1:2" x14ac:dyDescent="0.25">
      <c r="A328">
        <v>0.74938969671029354</v>
      </c>
      <c r="B328">
        <v>0</v>
      </c>
    </row>
    <row r="329" spans="1:2" x14ac:dyDescent="0.25">
      <c r="A329">
        <v>5.6437353995590325</v>
      </c>
      <c r="B329">
        <v>0</v>
      </c>
    </row>
    <row r="330" spans="1:2" x14ac:dyDescent="0.25">
      <c r="A330">
        <v>0.42890274787210403</v>
      </c>
      <c r="B330">
        <v>0</v>
      </c>
    </row>
    <row r="331" spans="1:2" x14ac:dyDescent="0.25">
      <c r="A331">
        <v>2.7604354625859435</v>
      </c>
      <c r="B331">
        <v>0</v>
      </c>
    </row>
    <row r="332" spans="1:2" x14ac:dyDescent="0.25">
      <c r="A332">
        <v>2.5998262850419533</v>
      </c>
      <c r="B332">
        <v>0</v>
      </c>
    </row>
    <row r="333" spans="1:2" x14ac:dyDescent="0.25">
      <c r="A333">
        <v>0.29046534593159479</v>
      </c>
      <c r="B333">
        <v>0</v>
      </c>
    </row>
    <row r="334" spans="1:2" x14ac:dyDescent="0.25">
      <c r="A334">
        <v>0.81394942926578606</v>
      </c>
      <c r="B334">
        <v>0</v>
      </c>
    </row>
    <row r="335" spans="1:2" x14ac:dyDescent="0.25">
      <c r="A335">
        <v>3.6822370278426404</v>
      </c>
      <c r="B335">
        <v>0</v>
      </c>
    </row>
    <row r="336" spans="1:2" x14ac:dyDescent="0.25">
      <c r="A336">
        <v>7.1431349352789539E-3</v>
      </c>
      <c r="B336">
        <v>0</v>
      </c>
    </row>
    <row r="337" spans="1:2" x14ac:dyDescent="0.25">
      <c r="A337">
        <v>0.27436125626574287</v>
      </c>
      <c r="B337">
        <v>0</v>
      </c>
    </row>
    <row r="338" spans="1:2" x14ac:dyDescent="0.25">
      <c r="A338">
        <v>0.45581183317096047</v>
      </c>
      <c r="B338">
        <v>0</v>
      </c>
    </row>
    <row r="339" spans="1:2" x14ac:dyDescent="0.25">
      <c r="A339">
        <v>0.145407873707285</v>
      </c>
      <c r="B339">
        <v>0</v>
      </c>
    </row>
    <row r="340" spans="1:2" x14ac:dyDescent="0.25">
      <c r="A340">
        <v>0.57397497327622893</v>
      </c>
      <c r="B340">
        <v>0</v>
      </c>
    </row>
    <row r="341" spans="1:2" x14ac:dyDescent="0.25">
      <c r="A341">
        <v>2.0856750423311814</v>
      </c>
      <c r="B341">
        <v>0</v>
      </c>
    </row>
    <row r="342" spans="1:2" x14ac:dyDescent="0.25">
      <c r="A342">
        <v>0.7178114080091974</v>
      </c>
      <c r="B342">
        <v>0</v>
      </c>
    </row>
    <row r="343" spans="1:2" x14ac:dyDescent="0.25">
      <c r="A343">
        <v>6.8844107382684996</v>
      </c>
      <c r="B343">
        <v>1</v>
      </c>
    </row>
    <row r="344" spans="1:2" x14ac:dyDescent="0.25">
      <c r="A344">
        <v>0.13167972970169131</v>
      </c>
      <c r="B344">
        <v>0</v>
      </c>
    </row>
    <row r="345" spans="1:2" x14ac:dyDescent="0.25">
      <c r="A345">
        <v>1.0548979564097877E-3</v>
      </c>
      <c r="B345">
        <v>0</v>
      </c>
    </row>
    <row r="346" spans="1:2" x14ac:dyDescent="0.25">
      <c r="A346">
        <v>7.9056730321523086E-4</v>
      </c>
      <c r="B346">
        <v>0</v>
      </c>
    </row>
    <row r="347" spans="1:2" x14ac:dyDescent="0.25">
      <c r="A347">
        <v>0.10414561990257987</v>
      </c>
      <c r="B347">
        <v>0</v>
      </c>
    </row>
    <row r="348" spans="1:2" x14ac:dyDescent="0.25">
      <c r="A348">
        <v>4.815837167127329</v>
      </c>
      <c r="B348">
        <v>0</v>
      </c>
    </row>
    <row r="349" spans="1:2" x14ac:dyDescent="0.25">
      <c r="A349">
        <v>3.036245991974992</v>
      </c>
      <c r="B349">
        <v>0</v>
      </c>
    </row>
    <row r="350" spans="1:2" x14ac:dyDescent="0.25">
      <c r="A350">
        <v>0.54239833791789183</v>
      </c>
      <c r="B350">
        <v>0</v>
      </c>
    </row>
    <row r="351" spans="1:2" x14ac:dyDescent="0.25">
      <c r="A351">
        <v>6.6439224939048565</v>
      </c>
      <c r="B351">
        <v>0</v>
      </c>
    </row>
    <row r="352" spans="1:2" x14ac:dyDescent="0.25">
      <c r="A352">
        <v>2.0957484336860639</v>
      </c>
      <c r="B352">
        <v>0</v>
      </c>
    </row>
    <row r="353" spans="1:2" x14ac:dyDescent="0.25">
      <c r="A353">
        <v>15.026122250756154</v>
      </c>
      <c r="B353">
        <v>1</v>
      </c>
    </row>
    <row r="354" spans="1:2" x14ac:dyDescent="0.25">
      <c r="A354">
        <v>0.42716674544694572</v>
      </c>
      <c r="B354">
        <v>0</v>
      </c>
    </row>
    <row r="355" spans="1:2" x14ac:dyDescent="0.25">
      <c r="A355">
        <v>0.57413001853683043</v>
      </c>
      <c r="B355">
        <v>0</v>
      </c>
    </row>
    <row r="356" spans="1:2" x14ac:dyDescent="0.25">
      <c r="A356">
        <v>0.21781986103079626</v>
      </c>
      <c r="B356">
        <v>0</v>
      </c>
    </row>
    <row r="357" spans="1:2" x14ac:dyDescent="0.25">
      <c r="A357">
        <v>0.7649404808816439</v>
      </c>
      <c r="B357">
        <v>0</v>
      </c>
    </row>
    <row r="358" spans="1:2" x14ac:dyDescent="0.25">
      <c r="A358">
        <v>0.35490825298261169</v>
      </c>
      <c r="B358">
        <v>0</v>
      </c>
    </row>
    <row r="359" spans="1:2" x14ac:dyDescent="0.25">
      <c r="A359">
        <v>1.8819723562114483</v>
      </c>
      <c r="B359">
        <v>0</v>
      </c>
    </row>
    <row r="360" spans="1:2" x14ac:dyDescent="0.25">
      <c r="A360">
        <v>1.244872493116234</v>
      </c>
      <c r="B360">
        <v>0</v>
      </c>
    </row>
    <row r="361" spans="1:2" x14ac:dyDescent="0.25">
      <c r="A361">
        <v>0.48162833780041647</v>
      </c>
      <c r="B361">
        <v>0</v>
      </c>
    </row>
    <row r="362" spans="1:2" x14ac:dyDescent="0.25">
      <c r="A362">
        <v>9.8085731059050332</v>
      </c>
      <c r="B362">
        <v>1</v>
      </c>
    </row>
    <row r="363" spans="1:2" x14ac:dyDescent="0.25">
      <c r="A363">
        <v>0.88329493760555644</v>
      </c>
      <c r="B363">
        <v>0</v>
      </c>
    </row>
    <row r="364" spans="1:2" x14ac:dyDescent="0.25">
      <c r="A364">
        <v>5.8055882740078328E-2</v>
      </c>
      <c r="B364">
        <v>0</v>
      </c>
    </row>
    <row r="365" spans="1:2" x14ac:dyDescent="0.25">
      <c r="A365">
        <v>1.7301632809585906E-2</v>
      </c>
      <c r="B365">
        <v>0</v>
      </c>
    </row>
    <row r="366" spans="1:2" x14ac:dyDescent="0.25">
      <c r="A366">
        <v>0.31113821619336707</v>
      </c>
      <c r="B366">
        <v>0</v>
      </c>
    </row>
    <row r="367" spans="1:2" x14ac:dyDescent="0.25">
      <c r="A367">
        <v>1.9241849850620073E-2</v>
      </c>
      <c r="B367">
        <v>0</v>
      </c>
    </row>
    <row r="368" spans="1:2" x14ac:dyDescent="0.25">
      <c r="A368">
        <v>0.82985042082735083</v>
      </c>
      <c r="B368">
        <v>0</v>
      </c>
    </row>
    <row r="369" spans="1:2" x14ac:dyDescent="0.25">
      <c r="A369">
        <v>3.5526441229198706</v>
      </c>
      <c r="B369">
        <v>0</v>
      </c>
    </row>
    <row r="370" spans="1:2" x14ac:dyDescent="0.25">
      <c r="A370">
        <v>0.23736200992999917</v>
      </c>
      <c r="B370">
        <v>0</v>
      </c>
    </row>
    <row r="371" spans="1:2" x14ac:dyDescent="0.25">
      <c r="A371">
        <v>5.2184572898451628E-3</v>
      </c>
      <c r="B371">
        <v>0</v>
      </c>
    </row>
    <row r="372" spans="1:2" x14ac:dyDescent="0.25">
      <c r="A372">
        <v>0.68863634384563011</v>
      </c>
      <c r="B372">
        <v>0</v>
      </c>
    </row>
    <row r="373" spans="1:2" x14ac:dyDescent="0.25">
      <c r="A373">
        <v>0.74305729150743316</v>
      </c>
      <c r="B373">
        <v>0</v>
      </c>
    </row>
    <row r="374" spans="1:2" x14ac:dyDescent="0.25">
      <c r="A374">
        <v>0.40517230916219832</v>
      </c>
      <c r="B374">
        <v>0</v>
      </c>
    </row>
    <row r="375" spans="1:2" x14ac:dyDescent="0.25">
      <c r="A375">
        <v>5.3211469075212108</v>
      </c>
      <c r="B375">
        <v>1</v>
      </c>
    </row>
    <row r="376" spans="1:2" x14ac:dyDescent="0.25">
      <c r="A376">
        <v>1.234740536603671</v>
      </c>
      <c r="B376">
        <v>0</v>
      </c>
    </row>
    <row r="377" spans="1:2" x14ac:dyDescent="0.25">
      <c r="A377">
        <v>1.4428303836343117</v>
      </c>
      <c r="B377">
        <v>0</v>
      </c>
    </row>
    <row r="378" spans="1:2" x14ac:dyDescent="0.25">
      <c r="A378">
        <v>2.4301446066695034</v>
      </c>
      <c r="B378">
        <v>0</v>
      </c>
    </row>
    <row r="379" spans="1:2" x14ac:dyDescent="0.25">
      <c r="A379">
        <v>0.50598311507234672</v>
      </c>
      <c r="B379">
        <v>0</v>
      </c>
    </row>
    <row r="380" spans="1:2" x14ac:dyDescent="0.25">
      <c r="A380">
        <v>0.40756242958071875</v>
      </c>
      <c r="B380">
        <v>0</v>
      </c>
    </row>
    <row r="381" spans="1:2" x14ac:dyDescent="0.25">
      <c r="A381">
        <v>4.8650611451700589</v>
      </c>
      <c r="B381">
        <v>0</v>
      </c>
    </row>
    <row r="382" spans="1:2" x14ac:dyDescent="0.25">
      <c r="A382">
        <v>2.3745644472752576</v>
      </c>
      <c r="B382">
        <v>0</v>
      </c>
    </row>
    <row r="383" spans="1:2" x14ac:dyDescent="0.25">
      <c r="A383">
        <v>1.7001653814966449</v>
      </c>
      <c r="B383">
        <v>0</v>
      </c>
    </row>
    <row r="384" spans="1:2" x14ac:dyDescent="0.25">
      <c r="A384">
        <v>1.2760047185095153E-2</v>
      </c>
      <c r="B384">
        <v>0</v>
      </c>
    </row>
    <row r="385" spans="1:2" x14ac:dyDescent="0.25">
      <c r="A385">
        <v>14.042534275623778</v>
      </c>
      <c r="B385">
        <v>1</v>
      </c>
    </row>
    <row r="386" spans="1:2" x14ac:dyDescent="0.25">
      <c r="A386">
        <v>0.20584498938018103</v>
      </c>
      <c r="B386">
        <v>0</v>
      </c>
    </row>
    <row r="387" spans="1:2" x14ac:dyDescent="0.25">
      <c r="A387">
        <v>6.5100180366184672E-4</v>
      </c>
      <c r="B387">
        <v>0</v>
      </c>
    </row>
    <row r="388" spans="1:2" x14ac:dyDescent="0.25">
      <c r="A388">
        <v>1.1123394975424656</v>
      </c>
      <c r="B388">
        <v>0</v>
      </c>
    </row>
    <row r="389" spans="1:2" x14ac:dyDescent="0.25">
      <c r="A389">
        <v>3.1499368733921935</v>
      </c>
      <c r="B389">
        <v>0</v>
      </c>
    </row>
    <row r="390" spans="1:2" x14ac:dyDescent="0.25">
      <c r="A390">
        <v>0.68613289925796739</v>
      </c>
      <c r="B390">
        <v>0</v>
      </c>
    </row>
    <row r="391" spans="1:2" x14ac:dyDescent="0.25">
      <c r="A391">
        <v>0.19733540390099974</v>
      </c>
      <c r="B391">
        <v>0</v>
      </c>
    </row>
    <row r="392" spans="1:2" x14ac:dyDescent="0.25">
      <c r="A392">
        <v>0.38180801380529505</v>
      </c>
      <c r="B392">
        <v>0</v>
      </c>
    </row>
    <row r="393" spans="1:2" x14ac:dyDescent="0.25">
      <c r="A393">
        <v>4.5570801053470888E-2</v>
      </c>
      <c r="B393">
        <v>0</v>
      </c>
    </row>
    <row r="394" spans="1:2" x14ac:dyDescent="0.25">
      <c r="A394">
        <v>1.054587137871418</v>
      </c>
      <c r="B394">
        <v>0</v>
      </c>
    </row>
    <row r="395" spans="1:2" x14ac:dyDescent="0.25">
      <c r="A395">
        <v>1.5331273085811192</v>
      </c>
      <c r="B395">
        <v>0</v>
      </c>
    </row>
    <row r="396" spans="1:2" x14ac:dyDescent="0.25">
      <c r="A396">
        <v>9.6853637672801599E-2</v>
      </c>
      <c r="B396">
        <v>0</v>
      </c>
    </row>
    <row r="397" spans="1:2" x14ac:dyDescent="0.25">
      <c r="A397">
        <v>0.70546857584357781</v>
      </c>
      <c r="B397">
        <v>0</v>
      </c>
    </row>
    <row r="398" spans="1:2" x14ac:dyDescent="0.25">
      <c r="A398">
        <v>0.67425151516727211</v>
      </c>
      <c r="B398">
        <v>0</v>
      </c>
    </row>
    <row r="399" spans="1:2" x14ac:dyDescent="0.25">
      <c r="A399">
        <v>0.18403476639879496</v>
      </c>
      <c r="B399">
        <v>0</v>
      </c>
    </row>
    <row r="400" spans="1:2" x14ac:dyDescent="0.25">
      <c r="A400">
        <v>0.20553665723945769</v>
      </c>
      <c r="B400">
        <v>0</v>
      </c>
    </row>
    <row r="401" spans="1:2" x14ac:dyDescent="0.25">
      <c r="A401">
        <v>9.0139349378193914E-2</v>
      </c>
      <c r="B401">
        <v>0</v>
      </c>
    </row>
    <row r="402" spans="1:2" x14ac:dyDescent="0.25">
      <c r="A402">
        <v>1.6324742781863637</v>
      </c>
      <c r="B402">
        <v>0</v>
      </c>
    </row>
    <row r="403" spans="1:2" x14ac:dyDescent="0.25">
      <c r="A403">
        <v>5.9661632371334705E-2</v>
      </c>
      <c r="B403">
        <v>0</v>
      </c>
    </row>
    <row r="404" spans="1:2" x14ac:dyDescent="0.25">
      <c r="A404">
        <v>4.332742394567239</v>
      </c>
      <c r="B404">
        <v>1</v>
      </c>
    </row>
    <row r="405" spans="1:2" x14ac:dyDescent="0.25">
      <c r="A405">
        <v>1.4360432475115879</v>
      </c>
      <c r="B405">
        <v>0</v>
      </c>
    </row>
    <row r="406" spans="1:2" x14ac:dyDescent="0.25">
      <c r="A406">
        <v>3.0037503551355682</v>
      </c>
      <c r="B406">
        <v>0</v>
      </c>
    </row>
    <row r="407" spans="1:2" x14ac:dyDescent="0.25">
      <c r="A407">
        <v>4.7680549797815299</v>
      </c>
      <c r="B407">
        <v>0</v>
      </c>
    </row>
    <row r="408" spans="1:2" x14ac:dyDescent="0.25">
      <c r="A408">
        <v>5.484085470697786E-2</v>
      </c>
      <c r="B408">
        <v>0</v>
      </c>
    </row>
    <row r="409" spans="1:2" x14ac:dyDescent="0.25">
      <c r="A409">
        <v>1.1990743324202375</v>
      </c>
      <c r="B409">
        <v>0</v>
      </c>
    </row>
    <row r="410" spans="1:2" x14ac:dyDescent="0.25">
      <c r="A410">
        <v>1.1809183015506208</v>
      </c>
      <c r="B410">
        <v>0</v>
      </c>
    </row>
    <row r="411" spans="1:2" x14ac:dyDescent="0.25">
      <c r="A411">
        <v>0.47638178316005664</v>
      </c>
      <c r="B411">
        <v>0</v>
      </c>
    </row>
    <row r="412" spans="1:2" x14ac:dyDescent="0.25">
      <c r="A412">
        <v>2.8575614536888798</v>
      </c>
      <c r="B412">
        <v>0</v>
      </c>
    </row>
    <row r="413" spans="1:2" x14ac:dyDescent="0.25">
      <c r="A413">
        <v>3.4110798388891475</v>
      </c>
      <c r="B413">
        <v>0</v>
      </c>
    </row>
    <row r="414" spans="1:2" x14ac:dyDescent="0.25">
      <c r="A414">
        <v>0.96188686924722411</v>
      </c>
      <c r="B414">
        <v>0</v>
      </c>
    </row>
    <row r="415" spans="1:2" x14ac:dyDescent="0.25">
      <c r="A415">
        <v>0.59831316253181888</v>
      </c>
      <c r="B415">
        <v>0</v>
      </c>
    </row>
    <row r="416" spans="1:2" x14ac:dyDescent="0.25">
      <c r="A416">
        <v>4.48563264024639</v>
      </c>
      <c r="B416">
        <v>0</v>
      </c>
    </row>
    <row r="417" spans="1:2" x14ac:dyDescent="0.25">
      <c r="A417">
        <v>0.32253865975357943</v>
      </c>
      <c r="B417">
        <v>0</v>
      </c>
    </row>
    <row r="418" spans="1:2" x14ac:dyDescent="0.25">
      <c r="A418">
        <v>0.1632544378015795</v>
      </c>
      <c r="B418">
        <v>0</v>
      </c>
    </row>
    <row r="419" spans="1:2" x14ac:dyDescent="0.25">
      <c r="A419">
        <v>1.8185345948900405E-2</v>
      </c>
      <c r="B419">
        <v>0</v>
      </c>
    </row>
    <row r="420" spans="1:2" x14ac:dyDescent="0.25">
      <c r="A420">
        <v>0.13358509756664996</v>
      </c>
      <c r="B420">
        <v>0</v>
      </c>
    </row>
    <row r="421" spans="1:2" x14ac:dyDescent="0.25">
      <c r="A421">
        <v>0.10692287219178176</v>
      </c>
      <c r="B421">
        <v>0</v>
      </c>
    </row>
    <row r="422" spans="1:2" x14ac:dyDescent="0.25">
      <c r="A422">
        <v>1.646524855572681</v>
      </c>
      <c r="B422">
        <v>0</v>
      </c>
    </row>
    <row r="423" spans="1:2" x14ac:dyDescent="0.25">
      <c r="A423">
        <v>1.8026863411641771</v>
      </c>
      <c r="B423">
        <v>0</v>
      </c>
    </row>
    <row r="424" spans="1:2" x14ac:dyDescent="0.25">
      <c r="A424">
        <v>7.2734382737937309E-3</v>
      </c>
      <c r="B424">
        <v>0</v>
      </c>
    </row>
    <row r="425" spans="1:2" x14ac:dyDescent="0.25">
      <c r="A425">
        <v>3.4654670391277523E-2</v>
      </c>
      <c r="B425">
        <v>0</v>
      </c>
    </row>
    <row r="426" spans="1:2" x14ac:dyDescent="0.25">
      <c r="A426">
        <v>0.26338183190408626</v>
      </c>
      <c r="B426">
        <v>0</v>
      </c>
    </row>
    <row r="427" spans="1:2" x14ac:dyDescent="0.25">
      <c r="A427">
        <v>5.6206747247505175</v>
      </c>
      <c r="B427">
        <v>1</v>
      </c>
    </row>
    <row r="428" spans="1:2" x14ac:dyDescent="0.25">
      <c r="A428">
        <v>0.74938969671029354</v>
      </c>
      <c r="B428">
        <v>0</v>
      </c>
    </row>
    <row r="429" spans="1:2" x14ac:dyDescent="0.25">
      <c r="A429">
        <v>5.6437353995590325</v>
      </c>
      <c r="B429">
        <v>0</v>
      </c>
    </row>
    <row r="430" spans="1:2" x14ac:dyDescent="0.25">
      <c r="A430">
        <v>0.42890274787210403</v>
      </c>
      <c r="B430">
        <v>0</v>
      </c>
    </row>
    <row r="431" spans="1:2" x14ac:dyDescent="0.25">
      <c r="A431">
        <v>2.7604354625859435</v>
      </c>
      <c r="B431">
        <v>0</v>
      </c>
    </row>
    <row r="432" spans="1:2" x14ac:dyDescent="0.25">
      <c r="A432">
        <v>2.5998262850419533</v>
      </c>
      <c r="B432">
        <v>0</v>
      </c>
    </row>
    <row r="433" spans="1:2" x14ac:dyDescent="0.25">
      <c r="A433">
        <v>0.29046534593159479</v>
      </c>
      <c r="B433">
        <v>0</v>
      </c>
    </row>
    <row r="434" spans="1:2" x14ac:dyDescent="0.25">
      <c r="A434">
        <v>0.81394942926578606</v>
      </c>
      <c r="B434">
        <v>0</v>
      </c>
    </row>
    <row r="435" spans="1:2" x14ac:dyDescent="0.25">
      <c r="A435">
        <v>3.6822370278426404</v>
      </c>
      <c r="B435">
        <v>0</v>
      </c>
    </row>
    <row r="436" spans="1:2" x14ac:dyDescent="0.25">
      <c r="A436">
        <v>7.1431349352789539E-3</v>
      </c>
      <c r="B436">
        <v>0</v>
      </c>
    </row>
    <row r="437" spans="1:2" x14ac:dyDescent="0.25">
      <c r="A437">
        <v>0.27436125626574287</v>
      </c>
      <c r="B437">
        <v>0</v>
      </c>
    </row>
    <row r="438" spans="1:2" x14ac:dyDescent="0.25">
      <c r="A438">
        <v>0.45581183317096047</v>
      </c>
      <c r="B438">
        <v>0</v>
      </c>
    </row>
    <row r="439" spans="1:2" x14ac:dyDescent="0.25">
      <c r="A439">
        <v>0.145407873707285</v>
      </c>
      <c r="B439">
        <v>0</v>
      </c>
    </row>
    <row r="440" spans="1:2" x14ac:dyDescent="0.25">
      <c r="A440">
        <v>0.57397497327622893</v>
      </c>
      <c r="B440">
        <v>0</v>
      </c>
    </row>
    <row r="441" spans="1:2" x14ac:dyDescent="0.25">
      <c r="A441">
        <v>2.0856750423311814</v>
      </c>
      <c r="B441">
        <v>0</v>
      </c>
    </row>
    <row r="442" spans="1:2" x14ac:dyDescent="0.25">
      <c r="A442">
        <v>0.7178114080091974</v>
      </c>
      <c r="B442">
        <v>0</v>
      </c>
    </row>
    <row r="443" spans="1:2" x14ac:dyDescent="0.25">
      <c r="A443">
        <v>6.8844107382684996</v>
      </c>
      <c r="B443">
        <v>1</v>
      </c>
    </row>
    <row r="444" spans="1:2" x14ac:dyDescent="0.25">
      <c r="A444">
        <v>0.13167972970169131</v>
      </c>
      <c r="B444">
        <v>0</v>
      </c>
    </row>
    <row r="445" spans="1:2" x14ac:dyDescent="0.25">
      <c r="A445">
        <v>1.0548979564097877E-3</v>
      </c>
      <c r="B445">
        <v>0</v>
      </c>
    </row>
    <row r="446" spans="1:2" x14ac:dyDescent="0.25">
      <c r="A446">
        <v>7.9056730321523086E-4</v>
      </c>
      <c r="B446">
        <v>0</v>
      </c>
    </row>
    <row r="447" spans="1:2" x14ac:dyDescent="0.25">
      <c r="A447">
        <v>0.10414561990257987</v>
      </c>
      <c r="B447">
        <v>0</v>
      </c>
    </row>
    <row r="448" spans="1:2" x14ac:dyDescent="0.25">
      <c r="A448">
        <v>4.815837167127329</v>
      </c>
      <c r="B448">
        <v>0</v>
      </c>
    </row>
    <row r="449" spans="1:2" x14ac:dyDescent="0.25">
      <c r="A449">
        <v>3.036245991974992</v>
      </c>
      <c r="B449">
        <v>0</v>
      </c>
    </row>
    <row r="450" spans="1:2" x14ac:dyDescent="0.25">
      <c r="A450">
        <v>0.54239833791789183</v>
      </c>
      <c r="B450">
        <v>0</v>
      </c>
    </row>
    <row r="451" spans="1:2" x14ac:dyDescent="0.25">
      <c r="A451">
        <v>6.6439224939048565</v>
      </c>
      <c r="B451">
        <v>0</v>
      </c>
    </row>
    <row r="452" spans="1:2" x14ac:dyDescent="0.25">
      <c r="A452">
        <v>2.0957484336860639</v>
      </c>
      <c r="B452">
        <v>0</v>
      </c>
    </row>
    <row r="453" spans="1:2" x14ac:dyDescent="0.25">
      <c r="A453">
        <v>15.026122250756154</v>
      </c>
      <c r="B453">
        <v>1</v>
      </c>
    </row>
    <row r="454" spans="1:2" x14ac:dyDescent="0.25">
      <c r="A454">
        <v>0.42716674544694572</v>
      </c>
      <c r="B454">
        <v>0</v>
      </c>
    </row>
    <row r="455" spans="1:2" x14ac:dyDescent="0.25">
      <c r="A455">
        <v>0.57413001853683043</v>
      </c>
      <c r="B455">
        <v>0</v>
      </c>
    </row>
    <row r="456" spans="1:2" x14ac:dyDescent="0.25">
      <c r="A456">
        <v>0.21781986103079626</v>
      </c>
      <c r="B456">
        <v>0</v>
      </c>
    </row>
    <row r="457" spans="1:2" x14ac:dyDescent="0.25">
      <c r="A457">
        <v>0.7649404808816439</v>
      </c>
      <c r="B457">
        <v>0</v>
      </c>
    </row>
    <row r="458" spans="1:2" x14ac:dyDescent="0.25">
      <c r="A458">
        <v>0.35490825298261169</v>
      </c>
      <c r="B458">
        <v>0</v>
      </c>
    </row>
    <row r="459" spans="1:2" x14ac:dyDescent="0.25">
      <c r="A459">
        <v>1.8819723562114483</v>
      </c>
      <c r="B459">
        <v>0</v>
      </c>
    </row>
    <row r="460" spans="1:2" x14ac:dyDescent="0.25">
      <c r="A460">
        <v>1.244872493116234</v>
      </c>
      <c r="B460">
        <v>0</v>
      </c>
    </row>
    <row r="461" spans="1:2" x14ac:dyDescent="0.25">
      <c r="A461">
        <v>0.48162833780041647</v>
      </c>
      <c r="B461">
        <v>0</v>
      </c>
    </row>
    <row r="462" spans="1:2" x14ac:dyDescent="0.25">
      <c r="A462">
        <v>9.8085731059050332</v>
      </c>
      <c r="B462">
        <v>1</v>
      </c>
    </row>
    <row r="463" spans="1:2" x14ac:dyDescent="0.25">
      <c r="A463">
        <v>0.88329493760555644</v>
      </c>
      <c r="B463">
        <v>0</v>
      </c>
    </row>
    <row r="464" spans="1:2" x14ac:dyDescent="0.25">
      <c r="A464">
        <v>5.8055882740078328E-2</v>
      </c>
      <c r="B464">
        <v>0</v>
      </c>
    </row>
    <row r="465" spans="1:2" x14ac:dyDescent="0.25">
      <c r="A465">
        <v>1.7301632809585906E-2</v>
      </c>
      <c r="B465">
        <v>0</v>
      </c>
    </row>
    <row r="466" spans="1:2" x14ac:dyDescent="0.25">
      <c r="A466">
        <v>0.31113821619336707</v>
      </c>
      <c r="B466">
        <v>0</v>
      </c>
    </row>
    <row r="467" spans="1:2" x14ac:dyDescent="0.25">
      <c r="A467">
        <v>1.9241849850620073E-2</v>
      </c>
      <c r="B467">
        <v>0</v>
      </c>
    </row>
    <row r="468" spans="1:2" x14ac:dyDescent="0.25">
      <c r="A468">
        <v>0.82985042082735083</v>
      </c>
      <c r="B468">
        <v>0</v>
      </c>
    </row>
    <row r="469" spans="1:2" x14ac:dyDescent="0.25">
      <c r="A469">
        <v>3.5526441229198706</v>
      </c>
      <c r="B469">
        <v>0</v>
      </c>
    </row>
    <row r="470" spans="1:2" x14ac:dyDescent="0.25">
      <c r="A470">
        <v>0.23736200992999917</v>
      </c>
      <c r="B470">
        <v>0</v>
      </c>
    </row>
    <row r="471" spans="1:2" x14ac:dyDescent="0.25">
      <c r="A471">
        <v>5.2184572898451628E-3</v>
      </c>
      <c r="B471">
        <v>0</v>
      </c>
    </row>
    <row r="472" spans="1:2" x14ac:dyDescent="0.25">
      <c r="A472">
        <v>0.68863634384563011</v>
      </c>
      <c r="B472">
        <v>0</v>
      </c>
    </row>
    <row r="473" spans="1:2" x14ac:dyDescent="0.25">
      <c r="A473">
        <v>0.74305729150743316</v>
      </c>
      <c r="B473">
        <v>0</v>
      </c>
    </row>
    <row r="474" spans="1:2" x14ac:dyDescent="0.25">
      <c r="A474">
        <v>0.40517230916219832</v>
      </c>
      <c r="B474">
        <v>0</v>
      </c>
    </row>
    <row r="475" spans="1:2" x14ac:dyDescent="0.25">
      <c r="A475">
        <v>5.3211469075212108</v>
      </c>
      <c r="B475">
        <v>1</v>
      </c>
    </row>
    <row r="476" spans="1:2" x14ac:dyDescent="0.25">
      <c r="A476">
        <v>1.234740536603671</v>
      </c>
      <c r="B476">
        <v>0</v>
      </c>
    </row>
    <row r="477" spans="1:2" x14ac:dyDescent="0.25">
      <c r="A477">
        <v>1.4428303836343117</v>
      </c>
      <c r="B477">
        <v>0</v>
      </c>
    </row>
    <row r="478" spans="1:2" x14ac:dyDescent="0.25">
      <c r="A478">
        <v>2.4301446066695034</v>
      </c>
      <c r="B478">
        <v>0</v>
      </c>
    </row>
    <row r="479" spans="1:2" x14ac:dyDescent="0.25">
      <c r="A479">
        <v>0.50598311507234672</v>
      </c>
      <c r="B479">
        <v>0</v>
      </c>
    </row>
    <row r="480" spans="1:2" x14ac:dyDescent="0.25">
      <c r="A480">
        <v>0.40756242958071875</v>
      </c>
      <c r="B480">
        <v>0</v>
      </c>
    </row>
    <row r="481" spans="1:2" x14ac:dyDescent="0.25">
      <c r="A481">
        <v>4.8650611451700589</v>
      </c>
      <c r="B481">
        <v>0</v>
      </c>
    </row>
    <row r="482" spans="1:2" x14ac:dyDescent="0.25">
      <c r="A482">
        <v>2.3745644472752576</v>
      </c>
      <c r="B482">
        <v>0</v>
      </c>
    </row>
    <row r="483" spans="1:2" x14ac:dyDescent="0.25">
      <c r="A483">
        <v>1.7001653814966449</v>
      </c>
      <c r="B483">
        <v>0</v>
      </c>
    </row>
    <row r="484" spans="1:2" x14ac:dyDescent="0.25">
      <c r="A484">
        <v>1.2760047185095153E-2</v>
      </c>
      <c r="B484">
        <v>0</v>
      </c>
    </row>
    <row r="485" spans="1:2" x14ac:dyDescent="0.25">
      <c r="A485">
        <v>14.042534275623778</v>
      </c>
      <c r="B485">
        <v>1</v>
      </c>
    </row>
    <row r="486" spans="1:2" x14ac:dyDescent="0.25">
      <c r="A486">
        <v>0.20584498938018103</v>
      </c>
      <c r="B486">
        <v>0</v>
      </c>
    </row>
    <row r="487" spans="1:2" x14ac:dyDescent="0.25">
      <c r="A487">
        <v>6.5100180366184672E-4</v>
      </c>
      <c r="B487">
        <v>0</v>
      </c>
    </row>
    <row r="488" spans="1:2" x14ac:dyDescent="0.25">
      <c r="A488">
        <v>1.1123394975424656</v>
      </c>
      <c r="B488">
        <v>0</v>
      </c>
    </row>
    <row r="489" spans="1:2" x14ac:dyDescent="0.25">
      <c r="A489">
        <v>3.1499368733921935</v>
      </c>
      <c r="B489">
        <v>0</v>
      </c>
    </row>
    <row r="490" spans="1:2" x14ac:dyDescent="0.25">
      <c r="A490">
        <v>0.68613289925796739</v>
      </c>
      <c r="B490">
        <v>0</v>
      </c>
    </row>
    <row r="491" spans="1:2" x14ac:dyDescent="0.25">
      <c r="A491">
        <v>0.19733540390099974</v>
      </c>
      <c r="B491">
        <v>0</v>
      </c>
    </row>
    <row r="492" spans="1:2" x14ac:dyDescent="0.25">
      <c r="A492">
        <v>0.38180801380529505</v>
      </c>
      <c r="B492">
        <v>0</v>
      </c>
    </row>
    <row r="493" spans="1:2" x14ac:dyDescent="0.25">
      <c r="A493">
        <v>4.5570801053470888E-2</v>
      </c>
      <c r="B493">
        <v>0</v>
      </c>
    </row>
    <row r="494" spans="1:2" x14ac:dyDescent="0.25">
      <c r="A494">
        <v>1.054587137871418</v>
      </c>
      <c r="B494">
        <v>0</v>
      </c>
    </row>
    <row r="495" spans="1:2" x14ac:dyDescent="0.25">
      <c r="A495">
        <v>1.5331273085811192</v>
      </c>
      <c r="B495">
        <v>0</v>
      </c>
    </row>
    <row r="496" spans="1:2" x14ac:dyDescent="0.25">
      <c r="A496">
        <v>9.6853637672801599E-2</v>
      </c>
      <c r="B496">
        <v>0</v>
      </c>
    </row>
    <row r="497" spans="1:2" x14ac:dyDescent="0.25">
      <c r="A497">
        <v>0.70546857584357781</v>
      </c>
      <c r="B497">
        <v>0</v>
      </c>
    </row>
    <row r="498" spans="1:2" x14ac:dyDescent="0.25">
      <c r="A498">
        <v>0.67425151516727211</v>
      </c>
      <c r="B498">
        <v>0</v>
      </c>
    </row>
    <row r="499" spans="1:2" x14ac:dyDescent="0.25">
      <c r="A499">
        <v>0.18403476639879496</v>
      </c>
      <c r="B499">
        <v>0</v>
      </c>
    </row>
    <row r="500" spans="1:2" x14ac:dyDescent="0.25">
      <c r="A500">
        <v>0.20553665723945769</v>
      </c>
      <c r="B500">
        <v>0</v>
      </c>
    </row>
    <row r="501" spans="1:2" x14ac:dyDescent="0.25">
      <c r="A501">
        <v>9.0139349378193914E-2</v>
      </c>
      <c r="B501">
        <v>0</v>
      </c>
    </row>
    <row r="502" spans="1:2" x14ac:dyDescent="0.25">
      <c r="A502">
        <v>1.6324742781863637</v>
      </c>
      <c r="B502">
        <v>0</v>
      </c>
    </row>
    <row r="503" spans="1:2" x14ac:dyDescent="0.25">
      <c r="A503">
        <v>5.9661632371334705E-2</v>
      </c>
      <c r="B503">
        <v>0</v>
      </c>
    </row>
    <row r="504" spans="1:2" x14ac:dyDescent="0.25">
      <c r="A504">
        <v>4.332742394567239</v>
      </c>
      <c r="B504">
        <v>0</v>
      </c>
    </row>
    <row r="505" spans="1:2" x14ac:dyDescent="0.25">
      <c r="A505">
        <v>1.4360432475115879</v>
      </c>
      <c r="B505">
        <v>0</v>
      </c>
    </row>
    <row r="506" spans="1:2" x14ac:dyDescent="0.25">
      <c r="A506">
        <v>3.0037503551355682</v>
      </c>
      <c r="B506">
        <v>0</v>
      </c>
    </row>
    <row r="507" spans="1:2" x14ac:dyDescent="0.25">
      <c r="A507">
        <v>4.7680549797815299</v>
      </c>
      <c r="B507">
        <v>0</v>
      </c>
    </row>
    <row r="508" spans="1:2" x14ac:dyDescent="0.25">
      <c r="A508">
        <v>5.484085470697786E-2</v>
      </c>
      <c r="B508">
        <v>0</v>
      </c>
    </row>
    <row r="509" spans="1:2" x14ac:dyDescent="0.25">
      <c r="A509">
        <v>1.1990743324202375</v>
      </c>
      <c r="B509">
        <v>0</v>
      </c>
    </row>
    <row r="510" spans="1:2" x14ac:dyDescent="0.25">
      <c r="A510">
        <v>1.1809183015506208</v>
      </c>
      <c r="B510">
        <v>0</v>
      </c>
    </row>
    <row r="511" spans="1:2" x14ac:dyDescent="0.25">
      <c r="A511">
        <v>0.47638178316005664</v>
      </c>
      <c r="B511">
        <v>0</v>
      </c>
    </row>
    <row r="512" spans="1:2" x14ac:dyDescent="0.25">
      <c r="A512">
        <v>2.8575614536888798</v>
      </c>
      <c r="B512">
        <v>0</v>
      </c>
    </row>
    <row r="513" spans="1:2" x14ac:dyDescent="0.25">
      <c r="A513">
        <v>3.4110798388891475</v>
      </c>
      <c r="B513">
        <v>0</v>
      </c>
    </row>
    <row r="514" spans="1:2" x14ac:dyDescent="0.25">
      <c r="A514">
        <v>0.96188686924722411</v>
      </c>
      <c r="B514">
        <v>0</v>
      </c>
    </row>
    <row r="515" spans="1:2" x14ac:dyDescent="0.25">
      <c r="A515">
        <v>0.59831316253181888</v>
      </c>
      <c r="B515">
        <v>0</v>
      </c>
    </row>
    <row r="516" spans="1:2" x14ac:dyDescent="0.25">
      <c r="A516">
        <v>4.48563264024639</v>
      </c>
      <c r="B516">
        <v>0</v>
      </c>
    </row>
    <row r="517" spans="1:2" x14ac:dyDescent="0.25">
      <c r="A517">
        <v>0.32253865975357943</v>
      </c>
      <c r="B517">
        <v>0</v>
      </c>
    </row>
    <row r="518" spans="1:2" x14ac:dyDescent="0.25">
      <c r="A518">
        <v>0.1632544378015795</v>
      </c>
      <c r="B518">
        <v>0</v>
      </c>
    </row>
    <row r="519" spans="1:2" x14ac:dyDescent="0.25">
      <c r="A519">
        <v>1.8185345948900405E-2</v>
      </c>
      <c r="B519">
        <v>0</v>
      </c>
    </row>
    <row r="520" spans="1:2" x14ac:dyDescent="0.25">
      <c r="A520">
        <v>0.13358509756664996</v>
      </c>
      <c r="B520">
        <v>0</v>
      </c>
    </row>
    <row r="521" spans="1:2" x14ac:dyDescent="0.25">
      <c r="A521">
        <v>0.10692287219178176</v>
      </c>
      <c r="B521">
        <v>0</v>
      </c>
    </row>
    <row r="522" spans="1:2" x14ac:dyDescent="0.25">
      <c r="A522">
        <v>1.646524855572681</v>
      </c>
      <c r="B522">
        <v>0</v>
      </c>
    </row>
    <row r="523" spans="1:2" x14ac:dyDescent="0.25">
      <c r="A523">
        <v>1.8026863411641771</v>
      </c>
      <c r="B523">
        <v>0</v>
      </c>
    </row>
    <row r="524" spans="1:2" x14ac:dyDescent="0.25">
      <c r="A524">
        <v>7.2734382737937309E-3</v>
      </c>
      <c r="B524">
        <v>0</v>
      </c>
    </row>
    <row r="525" spans="1:2" x14ac:dyDescent="0.25">
      <c r="A525">
        <v>3.4654670391277523E-2</v>
      </c>
      <c r="B525">
        <v>0</v>
      </c>
    </row>
    <row r="526" spans="1:2" x14ac:dyDescent="0.25">
      <c r="A526">
        <v>0.26338183190408626</v>
      </c>
      <c r="B526">
        <v>0</v>
      </c>
    </row>
    <row r="527" spans="1:2" x14ac:dyDescent="0.25">
      <c r="A527">
        <v>5.6206747247505175</v>
      </c>
      <c r="B527">
        <v>1</v>
      </c>
    </row>
    <row r="528" spans="1:2" x14ac:dyDescent="0.25">
      <c r="A528">
        <v>0.74938969671029354</v>
      </c>
      <c r="B528">
        <v>0</v>
      </c>
    </row>
    <row r="529" spans="1:2" x14ac:dyDescent="0.25">
      <c r="A529">
        <v>5.6437353995590325</v>
      </c>
      <c r="B529">
        <v>0</v>
      </c>
    </row>
    <row r="530" spans="1:2" x14ac:dyDescent="0.25">
      <c r="A530">
        <v>0.42890274787210403</v>
      </c>
      <c r="B530">
        <v>0</v>
      </c>
    </row>
    <row r="531" spans="1:2" x14ac:dyDescent="0.25">
      <c r="A531">
        <v>2.7604354625859435</v>
      </c>
      <c r="B531">
        <v>0</v>
      </c>
    </row>
    <row r="532" spans="1:2" x14ac:dyDescent="0.25">
      <c r="A532">
        <v>2.5998262850419533</v>
      </c>
      <c r="B532">
        <v>0</v>
      </c>
    </row>
    <row r="533" spans="1:2" x14ac:dyDescent="0.25">
      <c r="A533">
        <v>0.29046534593159479</v>
      </c>
      <c r="B533">
        <v>0</v>
      </c>
    </row>
    <row r="534" spans="1:2" x14ac:dyDescent="0.25">
      <c r="A534">
        <v>0.81394942926578606</v>
      </c>
      <c r="B534">
        <v>0</v>
      </c>
    </row>
    <row r="535" spans="1:2" x14ac:dyDescent="0.25">
      <c r="A535">
        <v>3.6822370278426404</v>
      </c>
      <c r="B535">
        <v>0</v>
      </c>
    </row>
    <row r="536" spans="1:2" x14ac:dyDescent="0.25">
      <c r="A536">
        <v>7.1431349352789539E-3</v>
      </c>
      <c r="B536">
        <v>0</v>
      </c>
    </row>
    <row r="537" spans="1:2" x14ac:dyDescent="0.25">
      <c r="A537">
        <v>0.27436125626574287</v>
      </c>
      <c r="B537">
        <v>0</v>
      </c>
    </row>
    <row r="538" spans="1:2" x14ac:dyDescent="0.25">
      <c r="A538">
        <v>0.45581183317096047</v>
      </c>
      <c r="B538">
        <v>0</v>
      </c>
    </row>
    <row r="539" spans="1:2" x14ac:dyDescent="0.25">
      <c r="A539">
        <v>0.145407873707285</v>
      </c>
      <c r="B539">
        <v>0</v>
      </c>
    </row>
    <row r="540" spans="1:2" x14ac:dyDescent="0.25">
      <c r="A540">
        <v>0.57397497327622893</v>
      </c>
      <c r="B540">
        <v>0</v>
      </c>
    </row>
    <row r="541" spans="1:2" x14ac:dyDescent="0.25">
      <c r="A541">
        <v>2.0856750423311814</v>
      </c>
      <c r="B541">
        <v>0</v>
      </c>
    </row>
    <row r="542" spans="1:2" x14ac:dyDescent="0.25">
      <c r="A542">
        <v>0.7178114080091974</v>
      </c>
      <c r="B542">
        <v>0</v>
      </c>
    </row>
    <row r="543" spans="1:2" x14ac:dyDescent="0.25">
      <c r="A543">
        <v>6.8844107382684996</v>
      </c>
      <c r="B543">
        <v>1</v>
      </c>
    </row>
    <row r="544" spans="1:2" x14ac:dyDescent="0.25">
      <c r="A544">
        <v>0.13167972970169131</v>
      </c>
      <c r="B544">
        <v>0</v>
      </c>
    </row>
    <row r="545" spans="1:2" x14ac:dyDescent="0.25">
      <c r="A545">
        <v>1.0548979564097877E-3</v>
      </c>
      <c r="B545">
        <v>0</v>
      </c>
    </row>
    <row r="546" spans="1:2" x14ac:dyDescent="0.25">
      <c r="A546">
        <v>7.9056730321523086E-4</v>
      </c>
      <c r="B546">
        <v>0</v>
      </c>
    </row>
    <row r="547" spans="1:2" x14ac:dyDescent="0.25">
      <c r="A547">
        <v>0.10414561990257987</v>
      </c>
      <c r="B547">
        <v>0</v>
      </c>
    </row>
    <row r="548" spans="1:2" x14ac:dyDescent="0.25">
      <c r="A548">
        <v>4.815837167127329</v>
      </c>
      <c r="B548">
        <v>0</v>
      </c>
    </row>
    <row r="549" spans="1:2" x14ac:dyDescent="0.25">
      <c r="A549">
        <v>3.036245991974992</v>
      </c>
      <c r="B549">
        <v>0</v>
      </c>
    </row>
    <row r="550" spans="1:2" x14ac:dyDescent="0.25">
      <c r="A550">
        <v>0.54239833791789183</v>
      </c>
      <c r="B550">
        <v>0</v>
      </c>
    </row>
    <row r="551" spans="1:2" x14ac:dyDescent="0.25">
      <c r="A551">
        <v>6.6439224939048565</v>
      </c>
      <c r="B551">
        <v>0</v>
      </c>
    </row>
    <row r="552" spans="1:2" x14ac:dyDescent="0.25">
      <c r="A552">
        <v>2.0957484336860639</v>
      </c>
      <c r="B552">
        <v>0</v>
      </c>
    </row>
    <row r="553" spans="1:2" x14ac:dyDescent="0.25">
      <c r="A553">
        <v>15.026122250756154</v>
      </c>
      <c r="B553">
        <v>1</v>
      </c>
    </row>
    <row r="554" spans="1:2" x14ac:dyDescent="0.25">
      <c r="A554">
        <v>0.42716674544694572</v>
      </c>
      <c r="B554">
        <v>0</v>
      </c>
    </row>
    <row r="555" spans="1:2" x14ac:dyDescent="0.25">
      <c r="A555">
        <v>0.57413001853683043</v>
      </c>
      <c r="B555">
        <v>0</v>
      </c>
    </row>
    <row r="556" spans="1:2" x14ac:dyDescent="0.25">
      <c r="A556">
        <v>0.21781986103079626</v>
      </c>
      <c r="B556">
        <v>0</v>
      </c>
    </row>
    <row r="557" spans="1:2" x14ac:dyDescent="0.25">
      <c r="A557">
        <v>0.7649404808816439</v>
      </c>
      <c r="B557">
        <v>0</v>
      </c>
    </row>
    <row r="558" spans="1:2" x14ac:dyDescent="0.25">
      <c r="A558">
        <v>0.35490825298261169</v>
      </c>
      <c r="B558">
        <v>0</v>
      </c>
    </row>
    <row r="559" spans="1:2" x14ac:dyDescent="0.25">
      <c r="A559">
        <v>1.8819723562114483</v>
      </c>
      <c r="B559">
        <v>0</v>
      </c>
    </row>
    <row r="560" spans="1:2" x14ac:dyDescent="0.25">
      <c r="A560">
        <v>1.244872493116234</v>
      </c>
      <c r="B560">
        <v>0</v>
      </c>
    </row>
    <row r="561" spans="1:2" x14ac:dyDescent="0.25">
      <c r="A561">
        <v>0.48162833780041647</v>
      </c>
      <c r="B561">
        <v>0</v>
      </c>
    </row>
    <row r="562" spans="1:2" x14ac:dyDescent="0.25">
      <c r="A562">
        <v>9.8085731059050332</v>
      </c>
      <c r="B562">
        <v>1</v>
      </c>
    </row>
    <row r="563" spans="1:2" x14ac:dyDescent="0.25">
      <c r="A563">
        <v>0.88329493760555644</v>
      </c>
      <c r="B563">
        <v>0</v>
      </c>
    </row>
    <row r="564" spans="1:2" x14ac:dyDescent="0.25">
      <c r="A564">
        <v>5.8055882740078328E-2</v>
      </c>
      <c r="B564">
        <v>0</v>
      </c>
    </row>
    <row r="565" spans="1:2" x14ac:dyDescent="0.25">
      <c r="A565">
        <v>1.7301632809585906E-2</v>
      </c>
      <c r="B565">
        <v>0</v>
      </c>
    </row>
    <row r="566" spans="1:2" x14ac:dyDescent="0.25">
      <c r="A566">
        <v>0.31113821619336707</v>
      </c>
      <c r="B566">
        <v>0</v>
      </c>
    </row>
    <row r="567" spans="1:2" x14ac:dyDescent="0.25">
      <c r="A567">
        <v>1.9241849850620073E-2</v>
      </c>
      <c r="B567">
        <v>0</v>
      </c>
    </row>
    <row r="568" spans="1:2" x14ac:dyDescent="0.25">
      <c r="A568">
        <v>0.82985042082735083</v>
      </c>
      <c r="B568">
        <v>0</v>
      </c>
    </row>
    <row r="569" spans="1:2" x14ac:dyDescent="0.25">
      <c r="A569">
        <v>3.5526441229198706</v>
      </c>
      <c r="B569">
        <v>0</v>
      </c>
    </row>
    <row r="570" spans="1:2" x14ac:dyDescent="0.25">
      <c r="A570">
        <v>0.23736200992999917</v>
      </c>
      <c r="B570">
        <v>0</v>
      </c>
    </row>
    <row r="571" spans="1:2" x14ac:dyDescent="0.25">
      <c r="A571">
        <v>5.2184572898451628E-3</v>
      </c>
      <c r="B571">
        <v>0</v>
      </c>
    </row>
    <row r="572" spans="1:2" x14ac:dyDescent="0.25">
      <c r="A572">
        <v>0.68863634384563011</v>
      </c>
      <c r="B572">
        <v>0</v>
      </c>
    </row>
    <row r="573" spans="1:2" x14ac:dyDescent="0.25">
      <c r="A573">
        <v>0.74305729150743316</v>
      </c>
      <c r="B573">
        <v>0</v>
      </c>
    </row>
    <row r="574" spans="1:2" x14ac:dyDescent="0.25">
      <c r="A574">
        <v>0.40517230916219832</v>
      </c>
      <c r="B574">
        <v>0</v>
      </c>
    </row>
    <row r="575" spans="1:2" x14ac:dyDescent="0.25">
      <c r="A575">
        <v>5.3211469075212108</v>
      </c>
      <c r="B575">
        <v>1</v>
      </c>
    </row>
    <row r="576" spans="1:2" x14ac:dyDescent="0.25">
      <c r="A576">
        <v>1.234740536603671</v>
      </c>
      <c r="B576">
        <v>0</v>
      </c>
    </row>
    <row r="577" spans="1:2" x14ac:dyDescent="0.25">
      <c r="A577">
        <v>1.4428303836343117</v>
      </c>
      <c r="B577">
        <v>0</v>
      </c>
    </row>
    <row r="578" spans="1:2" x14ac:dyDescent="0.25">
      <c r="A578">
        <v>2.4301446066695034</v>
      </c>
      <c r="B578">
        <v>0</v>
      </c>
    </row>
    <row r="579" spans="1:2" x14ac:dyDescent="0.25">
      <c r="A579">
        <v>0.50598311507234672</v>
      </c>
      <c r="B579">
        <v>0</v>
      </c>
    </row>
    <row r="580" spans="1:2" x14ac:dyDescent="0.25">
      <c r="A580">
        <v>0.40756242958071875</v>
      </c>
      <c r="B580">
        <v>0</v>
      </c>
    </row>
    <row r="581" spans="1:2" x14ac:dyDescent="0.25">
      <c r="A581">
        <v>4.8650611451700589</v>
      </c>
      <c r="B581">
        <v>0</v>
      </c>
    </row>
    <row r="582" spans="1:2" x14ac:dyDescent="0.25">
      <c r="A582">
        <v>2.3745644472752576</v>
      </c>
      <c r="B582">
        <v>0</v>
      </c>
    </row>
    <row r="583" spans="1:2" x14ac:dyDescent="0.25">
      <c r="A583">
        <v>1.7001653814966449</v>
      </c>
      <c r="B583">
        <v>0</v>
      </c>
    </row>
    <row r="584" spans="1:2" x14ac:dyDescent="0.25">
      <c r="A584">
        <v>1.2760047185095153E-2</v>
      </c>
      <c r="B584">
        <v>0</v>
      </c>
    </row>
    <row r="585" spans="1:2" x14ac:dyDescent="0.25">
      <c r="A585">
        <v>14.042534275623778</v>
      </c>
      <c r="B585">
        <v>1</v>
      </c>
    </row>
    <row r="586" spans="1:2" x14ac:dyDescent="0.25">
      <c r="A586">
        <v>0.20584498938018103</v>
      </c>
      <c r="B586">
        <v>0</v>
      </c>
    </row>
    <row r="587" spans="1:2" x14ac:dyDescent="0.25">
      <c r="A587">
        <v>6.5100180366184672E-4</v>
      </c>
      <c r="B587">
        <v>0</v>
      </c>
    </row>
    <row r="588" spans="1:2" x14ac:dyDescent="0.25">
      <c r="A588">
        <v>1.1123394975424656</v>
      </c>
      <c r="B588">
        <v>0</v>
      </c>
    </row>
    <row r="589" spans="1:2" x14ac:dyDescent="0.25">
      <c r="A589">
        <v>3.1499368733921935</v>
      </c>
      <c r="B589">
        <v>0</v>
      </c>
    </row>
    <row r="590" spans="1:2" x14ac:dyDescent="0.25">
      <c r="A590">
        <v>0.68613289925796739</v>
      </c>
      <c r="B590">
        <v>0</v>
      </c>
    </row>
    <row r="591" spans="1:2" x14ac:dyDescent="0.25">
      <c r="A591">
        <v>0.19733540390099974</v>
      </c>
      <c r="B591">
        <v>0</v>
      </c>
    </row>
    <row r="592" spans="1:2" x14ac:dyDescent="0.25">
      <c r="A592">
        <v>0.38180801380529505</v>
      </c>
      <c r="B592">
        <v>0</v>
      </c>
    </row>
    <row r="593" spans="1:2" x14ac:dyDescent="0.25">
      <c r="A593">
        <v>4.5570801053470888E-2</v>
      </c>
      <c r="B593">
        <v>0</v>
      </c>
    </row>
    <row r="594" spans="1:2" x14ac:dyDescent="0.25">
      <c r="A594">
        <v>1.054587137871418</v>
      </c>
      <c r="B594">
        <v>0</v>
      </c>
    </row>
    <row r="595" spans="1:2" x14ac:dyDescent="0.25">
      <c r="A595">
        <v>1.5331273085811192</v>
      </c>
      <c r="B595">
        <v>0</v>
      </c>
    </row>
    <row r="596" spans="1:2" x14ac:dyDescent="0.25">
      <c r="A596">
        <v>9.6853637672801599E-2</v>
      </c>
      <c r="B596">
        <v>0</v>
      </c>
    </row>
    <row r="597" spans="1:2" x14ac:dyDescent="0.25">
      <c r="A597">
        <v>0.70546857584357781</v>
      </c>
      <c r="B597">
        <v>0</v>
      </c>
    </row>
    <row r="598" spans="1:2" x14ac:dyDescent="0.25">
      <c r="A598">
        <v>0.67425151516727211</v>
      </c>
      <c r="B598">
        <v>0</v>
      </c>
    </row>
    <row r="599" spans="1:2" x14ac:dyDescent="0.25">
      <c r="A599">
        <v>0.18403476639879496</v>
      </c>
      <c r="B599">
        <v>0</v>
      </c>
    </row>
    <row r="600" spans="1:2" x14ac:dyDescent="0.25">
      <c r="A600">
        <v>0.20553665723945769</v>
      </c>
      <c r="B600">
        <v>0</v>
      </c>
    </row>
    <row r="601" spans="1:2" x14ac:dyDescent="0.25">
      <c r="A601">
        <v>9.0139349378193914E-2</v>
      </c>
      <c r="B601">
        <v>0</v>
      </c>
    </row>
    <row r="602" spans="1:2" x14ac:dyDescent="0.25">
      <c r="A602">
        <v>1.6324742781863637</v>
      </c>
      <c r="B602">
        <v>0</v>
      </c>
    </row>
    <row r="603" spans="1:2" x14ac:dyDescent="0.25">
      <c r="A603">
        <v>5.9661632371334705E-2</v>
      </c>
      <c r="B603">
        <v>0</v>
      </c>
    </row>
    <row r="604" spans="1:2" x14ac:dyDescent="0.25">
      <c r="A604">
        <v>4.332742394567239</v>
      </c>
      <c r="B604">
        <v>0</v>
      </c>
    </row>
    <row r="605" spans="1:2" x14ac:dyDescent="0.25">
      <c r="A605">
        <v>1.4360432475115879</v>
      </c>
      <c r="B605">
        <v>0</v>
      </c>
    </row>
    <row r="606" spans="1:2" x14ac:dyDescent="0.25">
      <c r="A606">
        <v>3.0037503551355682</v>
      </c>
      <c r="B606">
        <v>0</v>
      </c>
    </row>
    <row r="607" spans="1:2" x14ac:dyDescent="0.25">
      <c r="A607">
        <v>4.7680549797815299</v>
      </c>
      <c r="B607">
        <v>0</v>
      </c>
    </row>
    <row r="608" spans="1:2" x14ac:dyDescent="0.25">
      <c r="A608">
        <v>5.484085470697786E-2</v>
      </c>
      <c r="B608">
        <v>0</v>
      </c>
    </row>
    <row r="609" spans="1:2" x14ac:dyDescent="0.25">
      <c r="A609">
        <v>1.1990743324202375</v>
      </c>
      <c r="B609">
        <v>0</v>
      </c>
    </row>
    <row r="610" spans="1:2" x14ac:dyDescent="0.25">
      <c r="A610">
        <v>1.1809183015506208</v>
      </c>
      <c r="B610">
        <v>0</v>
      </c>
    </row>
    <row r="611" spans="1:2" x14ac:dyDescent="0.25">
      <c r="A611">
        <v>0.47638178316005664</v>
      </c>
      <c r="B611">
        <v>0</v>
      </c>
    </row>
    <row r="612" spans="1:2" x14ac:dyDescent="0.25">
      <c r="A612">
        <v>2.8575614536888798</v>
      </c>
      <c r="B612">
        <v>0</v>
      </c>
    </row>
    <row r="613" spans="1:2" x14ac:dyDescent="0.25">
      <c r="A613">
        <v>3.4110798388891475</v>
      </c>
      <c r="B613">
        <v>0</v>
      </c>
    </row>
    <row r="614" spans="1:2" x14ac:dyDescent="0.25">
      <c r="A614">
        <v>0.96188686924722411</v>
      </c>
      <c r="B614">
        <v>0</v>
      </c>
    </row>
    <row r="615" spans="1:2" x14ac:dyDescent="0.25">
      <c r="A615">
        <v>0.59831316253181888</v>
      </c>
      <c r="B615">
        <v>0</v>
      </c>
    </row>
    <row r="616" spans="1:2" x14ac:dyDescent="0.25">
      <c r="A616">
        <v>4.48563264024639</v>
      </c>
      <c r="B616">
        <v>0</v>
      </c>
    </row>
    <row r="617" spans="1:2" x14ac:dyDescent="0.25">
      <c r="A617">
        <v>0.32253865975357943</v>
      </c>
      <c r="B617">
        <v>0</v>
      </c>
    </row>
    <row r="618" spans="1:2" x14ac:dyDescent="0.25">
      <c r="A618">
        <v>0.1632544378015795</v>
      </c>
      <c r="B618">
        <v>0</v>
      </c>
    </row>
    <row r="619" spans="1:2" x14ac:dyDescent="0.25">
      <c r="A619">
        <v>1.8185345948900405E-2</v>
      </c>
      <c r="B619">
        <v>0</v>
      </c>
    </row>
    <row r="620" spans="1:2" x14ac:dyDescent="0.25">
      <c r="A620">
        <v>0.13358509756664996</v>
      </c>
      <c r="B620">
        <v>0</v>
      </c>
    </row>
    <row r="621" spans="1:2" x14ac:dyDescent="0.25">
      <c r="A621">
        <v>0.10692287219178176</v>
      </c>
      <c r="B621">
        <v>0</v>
      </c>
    </row>
    <row r="622" spans="1:2" x14ac:dyDescent="0.25">
      <c r="A622">
        <v>1.646524855572681</v>
      </c>
      <c r="B622">
        <v>0</v>
      </c>
    </row>
    <row r="623" spans="1:2" x14ac:dyDescent="0.25">
      <c r="A623">
        <v>1.8026863411641771</v>
      </c>
      <c r="B623">
        <v>0</v>
      </c>
    </row>
    <row r="624" spans="1:2" x14ac:dyDescent="0.25">
      <c r="A624">
        <v>7.2734382737937309E-3</v>
      </c>
      <c r="B624">
        <v>0</v>
      </c>
    </row>
    <row r="625" spans="1:2" x14ac:dyDescent="0.25">
      <c r="A625">
        <v>3.4654670391277523E-2</v>
      </c>
      <c r="B625">
        <v>0</v>
      </c>
    </row>
    <row r="626" spans="1:2" x14ac:dyDescent="0.25">
      <c r="A626">
        <v>0.26338183190408626</v>
      </c>
      <c r="B626">
        <v>0</v>
      </c>
    </row>
    <row r="627" spans="1:2" x14ac:dyDescent="0.25">
      <c r="A627">
        <v>5.6206747247505175</v>
      </c>
      <c r="B627">
        <v>0</v>
      </c>
    </row>
    <row r="628" spans="1:2" x14ac:dyDescent="0.25">
      <c r="A628">
        <v>0.74938969671029354</v>
      </c>
      <c r="B628">
        <v>0</v>
      </c>
    </row>
    <row r="629" spans="1:2" x14ac:dyDescent="0.25">
      <c r="A629">
        <v>5.6437353995590325</v>
      </c>
      <c r="B629">
        <v>0</v>
      </c>
    </row>
    <row r="630" spans="1:2" x14ac:dyDescent="0.25">
      <c r="A630">
        <v>0.42890274787210403</v>
      </c>
      <c r="B630">
        <v>0</v>
      </c>
    </row>
    <row r="631" spans="1:2" x14ac:dyDescent="0.25">
      <c r="A631">
        <v>2.7604354625859435</v>
      </c>
      <c r="B631">
        <v>0</v>
      </c>
    </row>
    <row r="632" spans="1:2" x14ac:dyDescent="0.25">
      <c r="A632">
        <v>2.5998262850419533</v>
      </c>
      <c r="B632">
        <v>0</v>
      </c>
    </row>
    <row r="633" spans="1:2" x14ac:dyDescent="0.25">
      <c r="A633">
        <v>0.29046534593159479</v>
      </c>
      <c r="B633">
        <v>0</v>
      </c>
    </row>
    <row r="634" spans="1:2" x14ac:dyDescent="0.25">
      <c r="A634">
        <v>0.81394942926578606</v>
      </c>
      <c r="B634">
        <v>0</v>
      </c>
    </row>
    <row r="635" spans="1:2" x14ac:dyDescent="0.25">
      <c r="A635">
        <v>3.6822370278426404</v>
      </c>
      <c r="B635">
        <v>0</v>
      </c>
    </row>
    <row r="636" spans="1:2" x14ac:dyDescent="0.25">
      <c r="A636">
        <v>7.1431349352789539E-3</v>
      </c>
      <c r="B636">
        <v>0</v>
      </c>
    </row>
    <row r="637" spans="1:2" x14ac:dyDescent="0.25">
      <c r="A637">
        <v>0.27436125626574287</v>
      </c>
      <c r="B637">
        <v>0</v>
      </c>
    </row>
    <row r="638" spans="1:2" x14ac:dyDescent="0.25">
      <c r="A638">
        <v>0.45581183317096047</v>
      </c>
      <c r="B638">
        <v>0</v>
      </c>
    </row>
    <row r="639" spans="1:2" x14ac:dyDescent="0.25">
      <c r="A639">
        <v>0.145407873707285</v>
      </c>
      <c r="B639">
        <v>0</v>
      </c>
    </row>
    <row r="640" spans="1:2" x14ac:dyDescent="0.25">
      <c r="A640">
        <v>0.57397497327622893</v>
      </c>
      <c r="B640">
        <v>0</v>
      </c>
    </row>
    <row r="641" spans="1:2" x14ac:dyDescent="0.25">
      <c r="A641">
        <v>2.0856750423311814</v>
      </c>
      <c r="B641">
        <v>0</v>
      </c>
    </row>
    <row r="642" spans="1:2" x14ac:dyDescent="0.25">
      <c r="A642">
        <v>0.7178114080091974</v>
      </c>
      <c r="B642">
        <v>0</v>
      </c>
    </row>
    <row r="643" spans="1:2" x14ac:dyDescent="0.25">
      <c r="A643">
        <v>6.8844107382684996</v>
      </c>
      <c r="B643">
        <v>1</v>
      </c>
    </row>
    <row r="644" spans="1:2" x14ac:dyDescent="0.25">
      <c r="A644">
        <v>0.13167972970169131</v>
      </c>
      <c r="B644">
        <v>0</v>
      </c>
    </row>
    <row r="645" spans="1:2" x14ac:dyDescent="0.25">
      <c r="A645">
        <v>1.0548979564097877E-3</v>
      </c>
      <c r="B645">
        <v>0</v>
      </c>
    </row>
    <row r="646" spans="1:2" x14ac:dyDescent="0.25">
      <c r="A646">
        <v>7.9056730321523086E-4</v>
      </c>
      <c r="B646">
        <v>0</v>
      </c>
    </row>
    <row r="647" spans="1:2" x14ac:dyDescent="0.25">
      <c r="A647">
        <v>0.10414561990257987</v>
      </c>
      <c r="B647">
        <v>0</v>
      </c>
    </row>
    <row r="648" spans="1:2" x14ac:dyDescent="0.25">
      <c r="A648">
        <v>4.815837167127329</v>
      </c>
      <c r="B648">
        <v>0</v>
      </c>
    </row>
    <row r="649" spans="1:2" x14ac:dyDescent="0.25">
      <c r="A649">
        <v>3.036245991974992</v>
      </c>
      <c r="B649">
        <v>0</v>
      </c>
    </row>
    <row r="650" spans="1:2" x14ac:dyDescent="0.25">
      <c r="A650">
        <v>0.54239833791789183</v>
      </c>
      <c r="B650">
        <v>0</v>
      </c>
    </row>
    <row r="651" spans="1:2" x14ac:dyDescent="0.25">
      <c r="A651">
        <v>6.6439224939048565</v>
      </c>
      <c r="B651">
        <v>0</v>
      </c>
    </row>
    <row r="652" spans="1:2" x14ac:dyDescent="0.25">
      <c r="A652">
        <v>2.0957484336860639</v>
      </c>
      <c r="B652">
        <v>0</v>
      </c>
    </row>
    <row r="653" spans="1:2" x14ac:dyDescent="0.25">
      <c r="A653">
        <v>15.026122250756154</v>
      </c>
      <c r="B653">
        <v>1</v>
      </c>
    </row>
    <row r="654" spans="1:2" x14ac:dyDescent="0.25">
      <c r="A654">
        <v>0.42716674544694572</v>
      </c>
      <c r="B654">
        <v>0</v>
      </c>
    </row>
    <row r="655" spans="1:2" x14ac:dyDescent="0.25">
      <c r="A655">
        <v>0.57413001853683043</v>
      </c>
      <c r="B655">
        <v>0</v>
      </c>
    </row>
    <row r="656" spans="1:2" x14ac:dyDescent="0.25">
      <c r="A656">
        <v>0.21781986103079626</v>
      </c>
      <c r="B656">
        <v>0</v>
      </c>
    </row>
    <row r="657" spans="1:2" x14ac:dyDescent="0.25">
      <c r="A657">
        <v>0.7649404808816439</v>
      </c>
      <c r="B657">
        <v>0</v>
      </c>
    </row>
    <row r="658" spans="1:2" x14ac:dyDescent="0.25">
      <c r="A658">
        <v>0.35490825298261169</v>
      </c>
      <c r="B658">
        <v>0</v>
      </c>
    </row>
    <row r="659" spans="1:2" x14ac:dyDescent="0.25">
      <c r="A659">
        <v>1.8819723562114483</v>
      </c>
      <c r="B659">
        <v>0</v>
      </c>
    </row>
    <row r="660" spans="1:2" x14ac:dyDescent="0.25">
      <c r="A660">
        <v>1.244872493116234</v>
      </c>
      <c r="B660">
        <v>0</v>
      </c>
    </row>
    <row r="661" spans="1:2" x14ac:dyDescent="0.25">
      <c r="A661">
        <v>0.48162833780041647</v>
      </c>
      <c r="B661">
        <v>0</v>
      </c>
    </row>
    <row r="662" spans="1:2" x14ac:dyDescent="0.25">
      <c r="A662">
        <v>9.8085731059050332</v>
      </c>
      <c r="B662">
        <v>1</v>
      </c>
    </row>
    <row r="663" spans="1:2" x14ac:dyDescent="0.25">
      <c r="A663">
        <v>0.88329493760555644</v>
      </c>
      <c r="B663">
        <v>0</v>
      </c>
    </row>
    <row r="664" spans="1:2" x14ac:dyDescent="0.25">
      <c r="A664">
        <v>5.8055882740078328E-2</v>
      </c>
      <c r="B664">
        <v>0</v>
      </c>
    </row>
    <row r="665" spans="1:2" x14ac:dyDescent="0.25">
      <c r="A665">
        <v>1.7301632809585906E-2</v>
      </c>
      <c r="B665">
        <v>0</v>
      </c>
    </row>
    <row r="666" spans="1:2" x14ac:dyDescent="0.25">
      <c r="A666">
        <v>0.31113821619336707</v>
      </c>
      <c r="B666">
        <v>0</v>
      </c>
    </row>
    <row r="667" spans="1:2" x14ac:dyDescent="0.25">
      <c r="A667">
        <v>1.9241849850620073E-2</v>
      </c>
      <c r="B667">
        <v>0</v>
      </c>
    </row>
    <row r="668" spans="1:2" x14ac:dyDescent="0.25">
      <c r="A668">
        <v>0.82985042082735083</v>
      </c>
      <c r="B668">
        <v>0</v>
      </c>
    </row>
    <row r="669" spans="1:2" x14ac:dyDescent="0.25">
      <c r="A669">
        <v>3.5526441229198706</v>
      </c>
      <c r="B669">
        <v>0</v>
      </c>
    </row>
    <row r="670" spans="1:2" x14ac:dyDescent="0.25">
      <c r="A670">
        <v>0.23736200992999917</v>
      </c>
      <c r="B670">
        <v>0</v>
      </c>
    </row>
    <row r="671" spans="1:2" x14ac:dyDescent="0.25">
      <c r="A671">
        <v>5.2184572898451628E-3</v>
      </c>
      <c r="B671">
        <v>0</v>
      </c>
    </row>
    <row r="672" spans="1:2" x14ac:dyDescent="0.25">
      <c r="A672">
        <v>0.68863634384563011</v>
      </c>
      <c r="B672">
        <v>0</v>
      </c>
    </row>
    <row r="673" spans="1:2" x14ac:dyDescent="0.25">
      <c r="A673">
        <v>0.74305729150743316</v>
      </c>
      <c r="B673">
        <v>0</v>
      </c>
    </row>
    <row r="674" spans="1:2" x14ac:dyDescent="0.25">
      <c r="A674">
        <v>0.40517230916219832</v>
      </c>
      <c r="B674">
        <v>0</v>
      </c>
    </row>
    <row r="675" spans="1:2" x14ac:dyDescent="0.25">
      <c r="A675">
        <v>5.3211469075212108</v>
      </c>
      <c r="B675">
        <v>0</v>
      </c>
    </row>
    <row r="676" spans="1:2" x14ac:dyDescent="0.25">
      <c r="A676">
        <v>1.234740536603671</v>
      </c>
      <c r="B676">
        <v>0</v>
      </c>
    </row>
    <row r="677" spans="1:2" x14ac:dyDescent="0.25">
      <c r="A677">
        <v>1.4428303836343117</v>
      </c>
      <c r="B677">
        <v>0</v>
      </c>
    </row>
    <row r="678" spans="1:2" x14ac:dyDescent="0.25">
      <c r="A678">
        <v>2.4301446066695034</v>
      </c>
      <c r="B678">
        <v>0</v>
      </c>
    </row>
    <row r="679" spans="1:2" x14ac:dyDescent="0.25">
      <c r="A679">
        <v>0.50598311507234672</v>
      </c>
      <c r="B679">
        <v>0</v>
      </c>
    </row>
    <row r="680" spans="1:2" x14ac:dyDescent="0.25">
      <c r="A680">
        <v>0.40756242958071875</v>
      </c>
      <c r="B680">
        <v>0</v>
      </c>
    </row>
    <row r="681" spans="1:2" x14ac:dyDescent="0.25">
      <c r="A681">
        <v>4.8650611451700589</v>
      </c>
      <c r="B681">
        <v>0</v>
      </c>
    </row>
    <row r="682" spans="1:2" x14ac:dyDescent="0.25">
      <c r="A682">
        <v>2.3745644472752576</v>
      </c>
      <c r="B682">
        <v>0</v>
      </c>
    </row>
    <row r="683" spans="1:2" x14ac:dyDescent="0.25">
      <c r="A683">
        <v>1.7001653814966449</v>
      </c>
      <c r="B683">
        <v>0</v>
      </c>
    </row>
    <row r="684" spans="1:2" x14ac:dyDescent="0.25">
      <c r="A684">
        <v>1.2760047185095153E-2</v>
      </c>
      <c r="B684">
        <v>0</v>
      </c>
    </row>
    <row r="685" spans="1:2" x14ac:dyDescent="0.25">
      <c r="A685">
        <v>14.042534275623778</v>
      </c>
      <c r="B685">
        <v>1</v>
      </c>
    </row>
    <row r="686" spans="1:2" x14ac:dyDescent="0.25">
      <c r="A686">
        <v>0.20584498938018103</v>
      </c>
      <c r="B686">
        <v>0</v>
      </c>
    </row>
    <row r="687" spans="1:2" x14ac:dyDescent="0.25">
      <c r="A687">
        <v>6.5100180366184672E-4</v>
      </c>
      <c r="B687">
        <v>0</v>
      </c>
    </row>
    <row r="688" spans="1:2" x14ac:dyDescent="0.25">
      <c r="A688">
        <v>1.1123394975424656</v>
      </c>
      <c r="B688">
        <v>0</v>
      </c>
    </row>
    <row r="689" spans="1:2" x14ac:dyDescent="0.25">
      <c r="A689">
        <v>3.1499368733921935</v>
      </c>
      <c r="B689">
        <v>0</v>
      </c>
    </row>
    <row r="690" spans="1:2" x14ac:dyDescent="0.25">
      <c r="A690">
        <v>0.68613289925796739</v>
      </c>
      <c r="B690">
        <v>0</v>
      </c>
    </row>
    <row r="691" spans="1:2" x14ac:dyDescent="0.25">
      <c r="A691">
        <v>0.19733540390099974</v>
      </c>
      <c r="B691">
        <v>0</v>
      </c>
    </row>
    <row r="692" spans="1:2" x14ac:dyDescent="0.25">
      <c r="A692">
        <v>0.38180801380529505</v>
      </c>
      <c r="B692">
        <v>0</v>
      </c>
    </row>
    <row r="693" spans="1:2" x14ac:dyDescent="0.25">
      <c r="A693">
        <v>4.5570801053470888E-2</v>
      </c>
      <c r="B693">
        <v>0</v>
      </c>
    </row>
    <row r="694" spans="1:2" x14ac:dyDescent="0.25">
      <c r="A694">
        <v>1.054587137871418</v>
      </c>
      <c r="B694">
        <v>0</v>
      </c>
    </row>
    <row r="695" spans="1:2" x14ac:dyDescent="0.25">
      <c r="A695">
        <v>1.5331273085811192</v>
      </c>
      <c r="B695">
        <v>0</v>
      </c>
    </row>
    <row r="696" spans="1:2" x14ac:dyDescent="0.25">
      <c r="A696">
        <v>9.6853637672801599E-2</v>
      </c>
      <c r="B696">
        <v>0</v>
      </c>
    </row>
    <row r="697" spans="1:2" x14ac:dyDescent="0.25">
      <c r="A697">
        <v>0.70546857584357781</v>
      </c>
      <c r="B697">
        <v>0</v>
      </c>
    </row>
    <row r="698" spans="1:2" x14ac:dyDescent="0.25">
      <c r="A698">
        <v>0.67425151516727211</v>
      </c>
      <c r="B698">
        <v>0</v>
      </c>
    </row>
    <row r="699" spans="1:2" x14ac:dyDescent="0.25">
      <c r="A699">
        <v>0.18403476639879496</v>
      </c>
      <c r="B699">
        <v>0</v>
      </c>
    </row>
    <row r="700" spans="1:2" x14ac:dyDescent="0.25">
      <c r="A700">
        <v>0.20553665723945769</v>
      </c>
      <c r="B700">
        <v>0</v>
      </c>
    </row>
    <row r="701" spans="1:2" x14ac:dyDescent="0.25">
      <c r="A701">
        <v>9.0139349378193914E-2</v>
      </c>
      <c r="B701">
        <v>0</v>
      </c>
    </row>
    <row r="702" spans="1:2" x14ac:dyDescent="0.25">
      <c r="A702">
        <v>1.6324742781863637</v>
      </c>
      <c r="B702">
        <v>0</v>
      </c>
    </row>
    <row r="703" spans="1:2" x14ac:dyDescent="0.25">
      <c r="A703">
        <v>5.9661632371334705E-2</v>
      </c>
      <c r="B703">
        <v>0</v>
      </c>
    </row>
    <row r="704" spans="1:2" x14ac:dyDescent="0.25">
      <c r="A704">
        <v>4.332742394567239</v>
      </c>
      <c r="B704">
        <v>0</v>
      </c>
    </row>
    <row r="705" spans="1:2" x14ac:dyDescent="0.25">
      <c r="A705">
        <v>1.4360432475115879</v>
      </c>
      <c r="B705">
        <v>0</v>
      </c>
    </row>
    <row r="706" spans="1:2" x14ac:dyDescent="0.25">
      <c r="A706">
        <v>3.0037503551355682</v>
      </c>
      <c r="B706">
        <v>0</v>
      </c>
    </row>
    <row r="707" spans="1:2" x14ac:dyDescent="0.25">
      <c r="A707">
        <v>4.7680549797815299</v>
      </c>
      <c r="B707">
        <v>0</v>
      </c>
    </row>
    <row r="708" spans="1:2" x14ac:dyDescent="0.25">
      <c r="A708">
        <v>5.484085470697786E-2</v>
      </c>
      <c r="B708">
        <v>0</v>
      </c>
    </row>
    <row r="709" spans="1:2" x14ac:dyDescent="0.25">
      <c r="A709">
        <v>1.1990743324202375</v>
      </c>
      <c r="B709">
        <v>0</v>
      </c>
    </row>
    <row r="710" spans="1:2" x14ac:dyDescent="0.25">
      <c r="A710">
        <v>1.1809183015506208</v>
      </c>
      <c r="B710">
        <v>0</v>
      </c>
    </row>
    <row r="711" spans="1:2" x14ac:dyDescent="0.25">
      <c r="A711">
        <v>0.47638178316005664</v>
      </c>
      <c r="B711">
        <v>0</v>
      </c>
    </row>
    <row r="712" spans="1:2" x14ac:dyDescent="0.25">
      <c r="A712">
        <v>2.8575614536888798</v>
      </c>
      <c r="B712">
        <v>0</v>
      </c>
    </row>
    <row r="713" spans="1:2" x14ac:dyDescent="0.25">
      <c r="A713">
        <v>3.4110798388891475</v>
      </c>
      <c r="B713">
        <v>0</v>
      </c>
    </row>
    <row r="714" spans="1:2" x14ac:dyDescent="0.25">
      <c r="A714">
        <v>0.96188686924722411</v>
      </c>
      <c r="B714">
        <v>0</v>
      </c>
    </row>
    <row r="715" spans="1:2" x14ac:dyDescent="0.25">
      <c r="A715">
        <v>0.59831316253181888</v>
      </c>
      <c r="B715">
        <v>0</v>
      </c>
    </row>
    <row r="716" spans="1:2" x14ac:dyDescent="0.25">
      <c r="A716">
        <v>4.48563264024639</v>
      </c>
      <c r="B716">
        <v>0</v>
      </c>
    </row>
    <row r="717" spans="1:2" x14ac:dyDescent="0.25">
      <c r="A717">
        <v>0.32253865975357943</v>
      </c>
      <c r="B717">
        <v>0</v>
      </c>
    </row>
    <row r="718" spans="1:2" x14ac:dyDescent="0.25">
      <c r="A718">
        <v>0.1632544378015795</v>
      </c>
      <c r="B718">
        <v>0</v>
      </c>
    </row>
    <row r="719" spans="1:2" x14ac:dyDescent="0.25">
      <c r="A719">
        <v>1.8185345948900405E-2</v>
      </c>
      <c r="B719">
        <v>0</v>
      </c>
    </row>
    <row r="720" spans="1:2" x14ac:dyDescent="0.25">
      <c r="A720">
        <v>0.13358509756664996</v>
      </c>
      <c r="B720">
        <v>0</v>
      </c>
    </row>
    <row r="721" spans="1:2" x14ac:dyDescent="0.25">
      <c r="A721">
        <v>0.10692287219178176</v>
      </c>
      <c r="B721">
        <v>0</v>
      </c>
    </row>
    <row r="722" spans="1:2" x14ac:dyDescent="0.25">
      <c r="A722">
        <v>1.646524855572681</v>
      </c>
      <c r="B722">
        <v>0</v>
      </c>
    </row>
    <row r="723" spans="1:2" x14ac:dyDescent="0.25">
      <c r="A723">
        <v>1.8026863411641771</v>
      </c>
      <c r="B723">
        <v>0</v>
      </c>
    </row>
    <row r="724" spans="1:2" x14ac:dyDescent="0.25">
      <c r="A724">
        <v>7.2734382737937309E-3</v>
      </c>
      <c r="B724">
        <v>0</v>
      </c>
    </row>
    <row r="725" spans="1:2" x14ac:dyDescent="0.25">
      <c r="A725">
        <v>3.4654670391277523E-2</v>
      </c>
      <c r="B725">
        <v>0</v>
      </c>
    </row>
    <row r="726" spans="1:2" x14ac:dyDescent="0.25">
      <c r="A726">
        <v>0.26338183190408626</v>
      </c>
      <c r="B726">
        <v>0</v>
      </c>
    </row>
    <row r="727" spans="1:2" x14ac:dyDescent="0.25">
      <c r="A727">
        <v>5.6206747247505175</v>
      </c>
      <c r="B727">
        <v>0</v>
      </c>
    </row>
    <row r="728" spans="1:2" x14ac:dyDescent="0.25">
      <c r="A728">
        <v>0.74938969671029354</v>
      </c>
      <c r="B728">
        <v>0</v>
      </c>
    </row>
    <row r="729" spans="1:2" x14ac:dyDescent="0.25">
      <c r="A729">
        <v>5.6437353995590325</v>
      </c>
      <c r="B729">
        <v>0</v>
      </c>
    </row>
    <row r="730" spans="1:2" x14ac:dyDescent="0.25">
      <c r="A730">
        <v>0.42890274787210403</v>
      </c>
      <c r="B730">
        <v>0</v>
      </c>
    </row>
    <row r="731" spans="1:2" x14ac:dyDescent="0.25">
      <c r="A731">
        <v>2.7604354625859435</v>
      </c>
      <c r="B731">
        <v>0</v>
      </c>
    </row>
    <row r="732" spans="1:2" x14ac:dyDescent="0.25">
      <c r="A732">
        <v>2.5998262850419533</v>
      </c>
      <c r="B732">
        <v>0</v>
      </c>
    </row>
    <row r="733" spans="1:2" x14ac:dyDescent="0.25">
      <c r="A733">
        <v>0.29046534593159479</v>
      </c>
      <c r="B733">
        <v>0</v>
      </c>
    </row>
    <row r="734" spans="1:2" x14ac:dyDescent="0.25">
      <c r="A734">
        <v>0.81394942926578606</v>
      </c>
      <c r="B734">
        <v>0</v>
      </c>
    </row>
    <row r="735" spans="1:2" x14ac:dyDescent="0.25">
      <c r="A735">
        <v>3.6822370278426404</v>
      </c>
      <c r="B735">
        <v>0</v>
      </c>
    </row>
    <row r="736" spans="1:2" x14ac:dyDescent="0.25">
      <c r="A736">
        <v>7.1431349352789539E-3</v>
      </c>
      <c r="B736">
        <v>0</v>
      </c>
    </row>
    <row r="737" spans="1:2" x14ac:dyDescent="0.25">
      <c r="A737">
        <v>0.27436125626574287</v>
      </c>
      <c r="B737">
        <v>0</v>
      </c>
    </row>
    <row r="738" spans="1:2" x14ac:dyDescent="0.25">
      <c r="A738">
        <v>0.45581183317096047</v>
      </c>
      <c r="B738">
        <v>0</v>
      </c>
    </row>
    <row r="739" spans="1:2" x14ac:dyDescent="0.25">
      <c r="A739">
        <v>0.145407873707285</v>
      </c>
      <c r="B739">
        <v>0</v>
      </c>
    </row>
    <row r="740" spans="1:2" x14ac:dyDescent="0.25">
      <c r="A740">
        <v>0.57397497327622893</v>
      </c>
      <c r="B740">
        <v>0</v>
      </c>
    </row>
    <row r="741" spans="1:2" x14ac:dyDescent="0.25">
      <c r="A741">
        <v>2.0856750423311814</v>
      </c>
      <c r="B741">
        <v>0</v>
      </c>
    </row>
    <row r="742" spans="1:2" x14ac:dyDescent="0.25">
      <c r="A742">
        <v>0.7178114080091974</v>
      </c>
      <c r="B742">
        <v>0</v>
      </c>
    </row>
    <row r="743" spans="1:2" x14ac:dyDescent="0.25">
      <c r="A743">
        <v>6.8844107382684996</v>
      </c>
      <c r="B743">
        <v>0</v>
      </c>
    </row>
    <row r="744" spans="1:2" x14ac:dyDescent="0.25">
      <c r="A744">
        <v>0.13167972970169131</v>
      </c>
      <c r="B744">
        <v>0</v>
      </c>
    </row>
    <row r="745" spans="1:2" x14ac:dyDescent="0.25">
      <c r="A745">
        <v>1.0548979564097877E-3</v>
      </c>
      <c r="B745">
        <v>0</v>
      </c>
    </row>
    <row r="746" spans="1:2" x14ac:dyDescent="0.25">
      <c r="A746">
        <v>7.9056730321523086E-4</v>
      </c>
      <c r="B746">
        <v>0</v>
      </c>
    </row>
    <row r="747" spans="1:2" x14ac:dyDescent="0.25">
      <c r="A747">
        <v>0.10414561990257987</v>
      </c>
      <c r="B747">
        <v>0</v>
      </c>
    </row>
    <row r="748" spans="1:2" x14ac:dyDescent="0.25">
      <c r="A748">
        <v>4.815837167127329</v>
      </c>
      <c r="B748">
        <v>0</v>
      </c>
    </row>
    <row r="749" spans="1:2" x14ac:dyDescent="0.25">
      <c r="A749">
        <v>3.036245991974992</v>
      </c>
      <c r="B749">
        <v>0</v>
      </c>
    </row>
    <row r="750" spans="1:2" x14ac:dyDescent="0.25">
      <c r="A750">
        <v>0.54239833791789183</v>
      </c>
      <c r="B750">
        <v>0</v>
      </c>
    </row>
    <row r="751" spans="1:2" x14ac:dyDescent="0.25">
      <c r="A751">
        <v>6.6439224939048565</v>
      </c>
      <c r="B751">
        <v>0</v>
      </c>
    </row>
    <row r="752" spans="1:2" x14ac:dyDescent="0.25">
      <c r="A752">
        <v>2.0957484336860639</v>
      </c>
      <c r="B752">
        <v>0</v>
      </c>
    </row>
    <row r="753" spans="1:2" x14ac:dyDescent="0.25">
      <c r="A753">
        <v>15.026122250756154</v>
      </c>
      <c r="B753">
        <v>1</v>
      </c>
    </row>
    <row r="754" spans="1:2" x14ac:dyDescent="0.25">
      <c r="A754">
        <v>0.42716674544694572</v>
      </c>
      <c r="B754">
        <v>0</v>
      </c>
    </row>
    <row r="755" spans="1:2" x14ac:dyDescent="0.25">
      <c r="A755">
        <v>0.57413001853683043</v>
      </c>
      <c r="B755">
        <v>0</v>
      </c>
    </row>
    <row r="756" spans="1:2" x14ac:dyDescent="0.25">
      <c r="A756">
        <v>0.21781986103079626</v>
      </c>
      <c r="B756">
        <v>0</v>
      </c>
    </row>
    <row r="757" spans="1:2" x14ac:dyDescent="0.25">
      <c r="A757">
        <v>0.7649404808816439</v>
      </c>
      <c r="B757">
        <v>0</v>
      </c>
    </row>
    <row r="758" spans="1:2" x14ac:dyDescent="0.25">
      <c r="A758">
        <v>0.35490825298261169</v>
      </c>
      <c r="B758">
        <v>0</v>
      </c>
    </row>
    <row r="759" spans="1:2" x14ac:dyDescent="0.25">
      <c r="A759">
        <v>1.8819723562114483</v>
      </c>
      <c r="B759">
        <v>0</v>
      </c>
    </row>
    <row r="760" spans="1:2" x14ac:dyDescent="0.25">
      <c r="A760">
        <v>1.244872493116234</v>
      </c>
      <c r="B760">
        <v>0</v>
      </c>
    </row>
    <row r="761" spans="1:2" x14ac:dyDescent="0.25">
      <c r="A761">
        <v>0.48162833780041647</v>
      </c>
      <c r="B761">
        <v>0</v>
      </c>
    </row>
    <row r="762" spans="1:2" x14ac:dyDescent="0.25">
      <c r="A762">
        <v>9.8085731059050332</v>
      </c>
      <c r="B762">
        <v>1</v>
      </c>
    </row>
    <row r="763" spans="1:2" x14ac:dyDescent="0.25">
      <c r="A763">
        <v>0.88329493760555644</v>
      </c>
      <c r="B763">
        <v>0</v>
      </c>
    </row>
    <row r="764" spans="1:2" x14ac:dyDescent="0.25">
      <c r="A764">
        <v>5.8055882740078328E-2</v>
      </c>
      <c r="B764">
        <v>0</v>
      </c>
    </row>
    <row r="765" spans="1:2" x14ac:dyDescent="0.25">
      <c r="A765">
        <v>1.7301632809585906E-2</v>
      </c>
      <c r="B765">
        <v>0</v>
      </c>
    </row>
    <row r="766" spans="1:2" x14ac:dyDescent="0.25">
      <c r="A766">
        <v>0.31113821619336707</v>
      </c>
      <c r="B766">
        <v>0</v>
      </c>
    </row>
    <row r="767" spans="1:2" x14ac:dyDescent="0.25">
      <c r="A767">
        <v>1.9241849850620073E-2</v>
      </c>
      <c r="B767">
        <v>0</v>
      </c>
    </row>
    <row r="768" spans="1:2" x14ac:dyDescent="0.25">
      <c r="A768">
        <v>0.82985042082735083</v>
      </c>
      <c r="B768">
        <v>0</v>
      </c>
    </row>
    <row r="769" spans="1:2" x14ac:dyDescent="0.25">
      <c r="A769">
        <v>3.5526441229198706</v>
      </c>
      <c r="B769">
        <v>0</v>
      </c>
    </row>
    <row r="770" spans="1:2" x14ac:dyDescent="0.25">
      <c r="A770">
        <v>0.23736200992999917</v>
      </c>
      <c r="B770">
        <v>0</v>
      </c>
    </row>
    <row r="771" spans="1:2" x14ac:dyDescent="0.25">
      <c r="A771">
        <v>5.2184572898451628E-3</v>
      </c>
      <c r="B771">
        <v>0</v>
      </c>
    </row>
    <row r="772" spans="1:2" x14ac:dyDescent="0.25">
      <c r="A772">
        <v>0.68863634384563011</v>
      </c>
      <c r="B772">
        <v>0</v>
      </c>
    </row>
    <row r="773" spans="1:2" x14ac:dyDescent="0.25">
      <c r="A773">
        <v>0.74305729150743316</v>
      </c>
      <c r="B773">
        <v>0</v>
      </c>
    </row>
    <row r="774" spans="1:2" x14ac:dyDescent="0.25">
      <c r="A774">
        <v>0.40517230916219832</v>
      </c>
      <c r="B774">
        <v>0</v>
      </c>
    </row>
    <row r="775" spans="1:2" x14ac:dyDescent="0.25">
      <c r="A775">
        <v>5.3211469075212108</v>
      </c>
      <c r="B775">
        <v>0</v>
      </c>
    </row>
    <row r="776" spans="1:2" x14ac:dyDescent="0.25">
      <c r="A776">
        <v>1.234740536603671</v>
      </c>
      <c r="B776">
        <v>0</v>
      </c>
    </row>
    <row r="777" spans="1:2" x14ac:dyDescent="0.25">
      <c r="A777">
        <v>1.4428303836343117</v>
      </c>
      <c r="B777">
        <v>0</v>
      </c>
    </row>
    <row r="778" spans="1:2" x14ac:dyDescent="0.25">
      <c r="A778">
        <v>2.4301446066695034</v>
      </c>
      <c r="B778">
        <v>0</v>
      </c>
    </row>
    <row r="779" spans="1:2" x14ac:dyDescent="0.25">
      <c r="A779">
        <v>0.50598311507234672</v>
      </c>
      <c r="B779">
        <v>0</v>
      </c>
    </row>
    <row r="780" spans="1:2" x14ac:dyDescent="0.25">
      <c r="A780">
        <v>0.40756242958071875</v>
      </c>
      <c r="B780">
        <v>0</v>
      </c>
    </row>
    <row r="781" spans="1:2" x14ac:dyDescent="0.25">
      <c r="A781">
        <v>4.8650611451700589</v>
      </c>
      <c r="B781">
        <v>0</v>
      </c>
    </row>
    <row r="782" spans="1:2" x14ac:dyDescent="0.25">
      <c r="A782">
        <v>2.3745644472752576</v>
      </c>
      <c r="B782">
        <v>0</v>
      </c>
    </row>
    <row r="783" spans="1:2" x14ac:dyDescent="0.25">
      <c r="A783">
        <v>1.7001653814966449</v>
      </c>
      <c r="B783">
        <v>0</v>
      </c>
    </row>
    <row r="784" spans="1:2" x14ac:dyDescent="0.25">
      <c r="A784">
        <v>1.2760047185095153E-2</v>
      </c>
      <c r="B784">
        <v>0</v>
      </c>
    </row>
    <row r="785" spans="1:2" x14ac:dyDescent="0.25">
      <c r="A785">
        <v>14.042534275623778</v>
      </c>
      <c r="B785">
        <v>1</v>
      </c>
    </row>
    <row r="786" spans="1:2" x14ac:dyDescent="0.25">
      <c r="A786">
        <v>0.20584498938018103</v>
      </c>
      <c r="B786">
        <v>0</v>
      </c>
    </row>
    <row r="787" spans="1:2" x14ac:dyDescent="0.25">
      <c r="A787">
        <v>6.5100180366184672E-4</v>
      </c>
      <c r="B787">
        <v>0</v>
      </c>
    </row>
    <row r="788" spans="1:2" x14ac:dyDescent="0.25">
      <c r="A788">
        <v>1.1123394975424656</v>
      </c>
      <c r="B788">
        <v>0</v>
      </c>
    </row>
    <row r="789" spans="1:2" x14ac:dyDescent="0.25">
      <c r="A789">
        <v>3.1499368733921935</v>
      </c>
      <c r="B789">
        <v>0</v>
      </c>
    </row>
    <row r="790" spans="1:2" x14ac:dyDescent="0.25">
      <c r="A790">
        <v>0.68613289925796739</v>
      </c>
      <c r="B790">
        <v>0</v>
      </c>
    </row>
    <row r="791" spans="1:2" x14ac:dyDescent="0.25">
      <c r="A791">
        <v>0.19733540390099974</v>
      </c>
      <c r="B791">
        <v>0</v>
      </c>
    </row>
    <row r="792" spans="1:2" x14ac:dyDescent="0.25">
      <c r="A792">
        <v>0.38180801380529505</v>
      </c>
      <c r="B792">
        <v>0</v>
      </c>
    </row>
    <row r="793" spans="1:2" x14ac:dyDescent="0.25">
      <c r="A793">
        <v>4.5570801053470888E-2</v>
      </c>
      <c r="B793">
        <v>0</v>
      </c>
    </row>
    <row r="794" spans="1:2" x14ac:dyDescent="0.25">
      <c r="A794">
        <v>1.054587137871418</v>
      </c>
      <c r="B794">
        <v>0</v>
      </c>
    </row>
    <row r="795" spans="1:2" x14ac:dyDescent="0.25">
      <c r="A795">
        <v>1.5331273085811192</v>
      </c>
      <c r="B795">
        <v>0</v>
      </c>
    </row>
    <row r="796" spans="1:2" x14ac:dyDescent="0.25">
      <c r="A796">
        <v>9.6853637672801599E-2</v>
      </c>
      <c r="B796">
        <v>0</v>
      </c>
    </row>
    <row r="797" spans="1:2" x14ac:dyDescent="0.25">
      <c r="A797">
        <v>0.70546857584357781</v>
      </c>
      <c r="B797">
        <v>0</v>
      </c>
    </row>
    <row r="798" spans="1:2" x14ac:dyDescent="0.25">
      <c r="A798">
        <v>0.67425151516727211</v>
      </c>
      <c r="B798">
        <v>0</v>
      </c>
    </row>
    <row r="799" spans="1:2" x14ac:dyDescent="0.25">
      <c r="A799">
        <v>0.18403476639879496</v>
      </c>
      <c r="B799">
        <v>0</v>
      </c>
    </row>
    <row r="800" spans="1:2" x14ac:dyDescent="0.25">
      <c r="A800">
        <v>0.20553665723945799</v>
      </c>
      <c r="B800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Signal+noise</vt:lpstr>
      <vt:lpstr>Data</vt:lpstr>
    </vt:vector>
  </TitlesOfParts>
  <Company>jms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jms</dc:creator>
  <cp:lastModifiedBy>Elias Myarkovskiy</cp:lastModifiedBy>
  <dcterms:created xsi:type="dcterms:W3CDTF">2000-08-04T16:09:01Z</dcterms:created>
  <dcterms:modified xsi:type="dcterms:W3CDTF">2026-03-04T22:11:52Z</dcterms:modified>
</cp:coreProperties>
</file>